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flavia/GitHub/Mastermind-Excel/"/>
    </mc:Choice>
  </mc:AlternateContent>
  <xr:revisionPtr revIDLastSave="0" documentId="13_ncr:1_{627C5CDE-6AFF-7F4A-B3BD-9EDBDCB7658F}" xr6:coauthVersionLast="45" xr6:coauthVersionMax="45" xr10:uidLastSave="{00000000-0000-0000-0000-000000000000}"/>
  <bookViews>
    <workbookView xWindow="0" yWindow="460" windowWidth="35840" windowHeight="21940" xr2:uid="{00000000-000D-0000-FFFF-FFFF00000000}"/>
  </bookViews>
  <sheets>
    <sheet name="Mastermind" sheetId="1" r:id="rId1"/>
    <sheet name="Key" sheetId="5" r:id="rId2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5" l="1"/>
  <c r="F13" i="5"/>
  <c r="F8" i="5"/>
  <c r="F9" i="5"/>
  <c r="F10" i="5"/>
  <c r="F12" i="5"/>
  <c r="F11" i="5"/>
  <c r="C4" i="5"/>
  <c r="E6" i="5"/>
  <c r="E4" i="5"/>
  <c r="G6" i="5"/>
  <c r="G4" i="5"/>
  <c r="I6" i="5"/>
  <c r="I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C16" i="5"/>
  <c r="E16" i="5"/>
  <c r="G16" i="5"/>
  <c r="I16" i="5"/>
  <c r="N16" i="5"/>
  <c r="O16" i="5"/>
  <c r="T16" i="5"/>
  <c r="T17" i="5"/>
  <c r="U16" i="5"/>
  <c r="Z16" i="5"/>
  <c r="Z17" i="5"/>
  <c r="AA16" i="5"/>
  <c r="AF16" i="5"/>
  <c r="AF17" i="5"/>
  <c r="AG16" i="5"/>
  <c r="AL16" i="5"/>
  <c r="AL17" i="5"/>
  <c r="AM16" i="5"/>
  <c r="AR16" i="5"/>
  <c r="AR17" i="5"/>
  <c r="AS16" i="5"/>
  <c r="AX16" i="5"/>
  <c r="AX17" i="5"/>
  <c r="N17" i="5"/>
  <c r="K16" i="5"/>
  <c r="L16" i="5"/>
  <c r="P16" i="5"/>
  <c r="Q16" i="5"/>
  <c r="R16" i="5"/>
  <c r="S16" i="5"/>
  <c r="V16" i="5"/>
  <c r="W16" i="5"/>
  <c r="X16" i="5"/>
  <c r="Y16" i="5"/>
  <c r="AB16" i="5"/>
  <c r="AC16" i="5"/>
  <c r="AD16" i="5"/>
  <c r="AE16" i="5"/>
  <c r="AH16" i="5"/>
  <c r="AI16" i="5"/>
  <c r="AJ16" i="5"/>
  <c r="AK16" i="5"/>
  <c r="AN16" i="5"/>
  <c r="AO16" i="5"/>
  <c r="AP16" i="5"/>
  <c r="AQ16" i="5"/>
  <c r="AT16" i="5"/>
  <c r="AU16" i="5"/>
  <c r="AV16" i="5"/>
  <c r="AW16" i="5"/>
  <c r="K17" i="5"/>
  <c r="L17" i="5"/>
  <c r="C18" i="5"/>
  <c r="E18" i="5"/>
  <c r="G18" i="5"/>
  <c r="I18" i="5"/>
  <c r="N18" i="5"/>
  <c r="O18" i="5"/>
  <c r="T18" i="5"/>
  <c r="T19" i="5"/>
  <c r="U18" i="5"/>
  <c r="Z18" i="5"/>
  <c r="Z19" i="5"/>
  <c r="AA18" i="5"/>
  <c r="AF18" i="5"/>
  <c r="AF19" i="5"/>
  <c r="AG18" i="5"/>
  <c r="AL18" i="5"/>
  <c r="AL19" i="5"/>
  <c r="AM18" i="5"/>
  <c r="AR18" i="5"/>
  <c r="AR19" i="5"/>
  <c r="AS18" i="5"/>
  <c r="AX18" i="5"/>
  <c r="AX19" i="5"/>
  <c r="N19" i="5"/>
  <c r="K18" i="5"/>
  <c r="L18" i="5"/>
  <c r="P18" i="5"/>
  <c r="Q18" i="5"/>
  <c r="R18" i="5"/>
  <c r="S18" i="5"/>
  <c r="V18" i="5"/>
  <c r="W18" i="5"/>
  <c r="X18" i="5"/>
  <c r="Y18" i="5"/>
  <c r="AB18" i="5"/>
  <c r="AC18" i="5"/>
  <c r="AD18" i="5"/>
  <c r="AE18" i="5"/>
  <c r="AH18" i="5"/>
  <c r="AI18" i="5"/>
  <c r="AJ18" i="5"/>
  <c r="AK18" i="5"/>
  <c r="AN18" i="5"/>
  <c r="AO18" i="5"/>
  <c r="AP18" i="5"/>
  <c r="AQ18" i="5"/>
  <c r="AT18" i="5"/>
  <c r="AU18" i="5"/>
  <c r="AV18" i="5"/>
  <c r="AW18" i="5"/>
  <c r="K19" i="5"/>
  <c r="L19" i="5"/>
  <c r="C20" i="5"/>
  <c r="E20" i="5"/>
  <c r="G20" i="5"/>
  <c r="I20" i="5"/>
  <c r="N20" i="5"/>
  <c r="O20" i="5"/>
  <c r="T20" i="5"/>
  <c r="T21" i="5"/>
  <c r="U20" i="5"/>
  <c r="Z20" i="5"/>
  <c r="Z21" i="5"/>
  <c r="AA20" i="5"/>
  <c r="AF20" i="5"/>
  <c r="AF21" i="5"/>
  <c r="AG20" i="5"/>
  <c r="AL20" i="5"/>
  <c r="AL21" i="5"/>
  <c r="AM20" i="5"/>
  <c r="AR20" i="5"/>
  <c r="AR21" i="5"/>
  <c r="AS20" i="5"/>
  <c r="AX20" i="5"/>
  <c r="AX21" i="5"/>
  <c r="N21" i="5"/>
  <c r="K20" i="5"/>
  <c r="L20" i="5"/>
  <c r="P20" i="5"/>
  <c r="Q20" i="5"/>
  <c r="R20" i="5"/>
  <c r="S20" i="5"/>
  <c r="V20" i="5"/>
  <c r="W20" i="5"/>
  <c r="X20" i="5"/>
  <c r="Y20" i="5"/>
  <c r="AB20" i="5"/>
  <c r="AC20" i="5"/>
  <c r="AD20" i="5"/>
  <c r="AE20" i="5"/>
  <c r="AH20" i="5"/>
  <c r="AI20" i="5"/>
  <c r="AJ20" i="5"/>
  <c r="AK20" i="5"/>
  <c r="AN20" i="5"/>
  <c r="AO20" i="5"/>
  <c r="AP20" i="5"/>
  <c r="AQ20" i="5"/>
  <c r="AT20" i="5"/>
  <c r="AU20" i="5"/>
  <c r="AV20" i="5"/>
  <c r="AW20" i="5"/>
  <c r="K21" i="5"/>
  <c r="L21" i="5"/>
  <c r="C22" i="5"/>
  <c r="E22" i="5"/>
  <c r="G22" i="5"/>
  <c r="I22" i="5"/>
  <c r="N22" i="5"/>
  <c r="O22" i="5"/>
  <c r="T22" i="5"/>
  <c r="T23" i="5"/>
  <c r="U22" i="5"/>
  <c r="Z22" i="5"/>
  <c r="Z23" i="5"/>
  <c r="AA22" i="5"/>
  <c r="AF22" i="5"/>
  <c r="AF23" i="5"/>
  <c r="AG22" i="5"/>
  <c r="AL22" i="5"/>
  <c r="AL23" i="5"/>
  <c r="AM22" i="5"/>
  <c r="AR22" i="5"/>
  <c r="AR23" i="5"/>
  <c r="AS22" i="5"/>
  <c r="AX22" i="5"/>
  <c r="AX23" i="5"/>
  <c r="N23" i="5"/>
  <c r="K22" i="5"/>
  <c r="L22" i="5"/>
  <c r="P22" i="5"/>
  <c r="Q22" i="5"/>
  <c r="R22" i="5"/>
  <c r="S22" i="5"/>
  <c r="V22" i="5"/>
  <c r="W22" i="5"/>
  <c r="X22" i="5"/>
  <c r="Y22" i="5"/>
  <c r="AB22" i="5"/>
  <c r="AC22" i="5"/>
  <c r="AD22" i="5"/>
  <c r="AE22" i="5"/>
  <c r="AH22" i="5"/>
  <c r="AI22" i="5"/>
  <c r="AJ22" i="5"/>
  <c r="AK22" i="5"/>
  <c r="AN22" i="5"/>
  <c r="AO22" i="5"/>
  <c r="AP22" i="5"/>
  <c r="AQ22" i="5"/>
  <c r="AT22" i="5"/>
  <c r="AU22" i="5"/>
  <c r="AV22" i="5"/>
  <c r="AW22" i="5"/>
  <c r="K23" i="5"/>
  <c r="L23" i="5"/>
  <c r="C24" i="5"/>
  <c r="E24" i="5"/>
  <c r="G24" i="5"/>
  <c r="I24" i="5"/>
  <c r="N24" i="5"/>
  <c r="O24" i="5"/>
  <c r="T24" i="5"/>
  <c r="T25" i="5"/>
  <c r="U24" i="5"/>
  <c r="Z24" i="5"/>
  <c r="Z25" i="5"/>
  <c r="AA24" i="5"/>
  <c r="AF24" i="5"/>
  <c r="AF25" i="5"/>
  <c r="AG24" i="5"/>
  <c r="AL24" i="5"/>
  <c r="AL25" i="5"/>
  <c r="AM24" i="5"/>
  <c r="AR24" i="5"/>
  <c r="AR25" i="5"/>
  <c r="AS24" i="5"/>
  <c r="AX24" i="5"/>
  <c r="AX25" i="5"/>
  <c r="N25" i="5"/>
  <c r="K24" i="5"/>
  <c r="L24" i="5"/>
  <c r="P24" i="5"/>
  <c r="Q24" i="5"/>
  <c r="R24" i="5"/>
  <c r="S24" i="5"/>
  <c r="V24" i="5"/>
  <c r="W24" i="5"/>
  <c r="X24" i="5"/>
  <c r="Y24" i="5"/>
  <c r="AB24" i="5"/>
  <c r="AC24" i="5"/>
  <c r="AD24" i="5"/>
  <c r="AE24" i="5"/>
  <c r="AH24" i="5"/>
  <c r="AI24" i="5"/>
  <c r="AJ24" i="5"/>
  <c r="AK24" i="5"/>
  <c r="AN24" i="5"/>
  <c r="AO24" i="5"/>
  <c r="AP24" i="5"/>
  <c r="AQ24" i="5"/>
  <c r="AT24" i="5"/>
  <c r="AU24" i="5"/>
  <c r="AV24" i="5"/>
  <c r="AW24" i="5"/>
  <c r="K25" i="5"/>
  <c r="L25" i="5"/>
  <c r="C26" i="5"/>
  <c r="E26" i="5"/>
  <c r="G26" i="5"/>
  <c r="I26" i="5"/>
  <c r="N26" i="5"/>
  <c r="O26" i="5"/>
  <c r="T26" i="5"/>
  <c r="T27" i="5"/>
  <c r="U26" i="5"/>
  <c r="Z26" i="5"/>
  <c r="Z27" i="5"/>
  <c r="AA26" i="5"/>
  <c r="AF26" i="5"/>
  <c r="AF27" i="5"/>
  <c r="AG26" i="5"/>
  <c r="AL26" i="5"/>
  <c r="AL27" i="5"/>
  <c r="AM26" i="5"/>
  <c r="AR26" i="5"/>
  <c r="AR27" i="5"/>
  <c r="AS26" i="5"/>
  <c r="AX26" i="5"/>
  <c r="AX27" i="5"/>
  <c r="N27" i="5"/>
  <c r="K26" i="5"/>
  <c r="L26" i="5"/>
  <c r="P26" i="5"/>
  <c r="Q26" i="5"/>
  <c r="R26" i="5"/>
  <c r="S26" i="5"/>
  <c r="V26" i="5"/>
  <c r="W26" i="5"/>
  <c r="X26" i="5"/>
  <c r="Y26" i="5"/>
  <c r="AB26" i="5"/>
  <c r="AC26" i="5"/>
  <c r="AD26" i="5"/>
  <c r="AE26" i="5"/>
  <c r="AH26" i="5"/>
  <c r="AI26" i="5"/>
  <c r="AJ26" i="5"/>
  <c r="AK26" i="5"/>
  <c r="AN26" i="5"/>
  <c r="AO26" i="5"/>
  <c r="AP26" i="5"/>
  <c r="AQ26" i="5"/>
  <c r="AT26" i="5"/>
  <c r="AU26" i="5"/>
  <c r="AV26" i="5"/>
  <c r="AW26" i="5"/>
  <c r="K27" i="5"/>
  <c r="L27" i="5"/>
  <c r="C28" i="5"/>
  <c r="E28" i="5"/>
  <c r="G28" i="5"/>
  <c r="I28" i="5"/>
  <c r="N28" i="5"/>
  <c r="O28" i="5"/>
  <c r="T28" i="5"/>
  <c r="T29" i="5"/>
  <c r="U28" i="5"/>
  <c r="Z28" i="5"/>
  <c r="Z29" i="5"/>
  <c r="AA28" i="5"/>
  <c r="AF28" i="5"/>
  <c r="AF29" i="5"/>
  <c r="AG28" i="5"/>
  <c r="AL28" i="5"/>
  <c r="AL29" i="5"/>
  <c r="AM28" i="5"/>
  <c r="AR28" i="5"/>
  <c r="AR29" i="5"/>
  <c r="AS28" i="5"/>
  <c r="AX28" i="5"/>
  <c r="AX29" i="5"/>
  <c r="N29" i="5"/>
  <c r="K28" i="5"/>
  <c r="L28" i="5"/>
  <c r="P28" i="5"/>
  <c r="Q28" i="5"/>
  <c r="R28" i="5"/>
  <c r="S28" i="5"/>
  <c r="V28" i="5"/>
  <c r="W28" i="5"/>
  <c r="X28" i="5"/>
  <c r="Y28" i="5"/>
  <c r="AB28" i="5"/>
  <c r="AC28" i="5"/>
  <c r="AD28" i="5"/>
  <c r="AE28" i="5"/>
  <c r="AH28" i="5"/>
  <c r="AI28" i="5"/>
  <c r="AJ28" i="5"/>
  <c r="AK28" i="5"/>
  <c r="AN28" i="5"/>
  <c r="AO28" i="5"/>
  <c r="AP28" i="5"/>
  <c r="AQ28" i="5"/>
  <c r="AT28" i="5"/>
  <c r="AU28" i="5"/>
  <c r="AV28" i="5"/>
  <c r="AW28" i="5"/>
  <c r="K29" i="5"/>
  <c r="L29" i="5"/>
  <c r="C30" i="5"/>
  <c r="E30" i="5"/>
  <c r="G30" i="5"/>
  <c r="I30" i="5"/>
  <c r="N30" i="5"/>
  <c r="O30" i="5"/>
  <c r="T30" i="5"/>
  <c r="T31" i="5"/>
  <c r="U30" i="5"/>
  <c r="Z30" i="5"/>
  <c r="Z31" i="5"/>
  <c r="AA30" i="5"/>
  <c r="AF30" i="5"/>
  <c r="AF31" i="5"/>
  <c r="AG30" i="5"/>
  <c r="AL30" i="5"/>
  <c r="AL31" i="5"/>
  <c r="AM30" i="5"/>
  <c r="AR30" i="5"/>
  <c r="AR31" i="5"/>
  <c r="AS30" i="5"/>
  <c r="AX30" i="5"/>
  <c r="AX31" i="5"/>
  <c r="N31" i="5"/>
  <c r="K30" i="5"/>
  <c r="L30" i="5"/>
  <c r="P30" i="5"/>
  <c r="Q30" i="5"/>
  <c r="R30" i="5"/>
  <c r="S30" i="5"/>
  <c r="V30" i="5"/>
  <c r="W30" i="5"/>
  <c r="X30" i="5"/>
  <c r="Y30" i="5"/>
  <c r="AB30" i="5"/>
  <c r="AC30" i="5"/>
  <c r="AD30" i="5"/>
  <c r="AE30" i="5"/>
  <c r="AH30" i="5"/>
  <c r="AI30" i="5"/>
  <c r="AJ30" i="5"/>
  <c r="AK30" i="5"/>
  <c r="AN30" i="5"/>
  <c r="AO30" i="5"/>
  <c r="AP30" i="5"/>
  <c r="AQ30" i="5"/>
  <c r="AT30" i="5"/>
  <c r="AU30" i="5"/>
  <c r="AV30" i="5"/>
  <c r="AW30" i="5"/>
  <c r="K31" i="5"/>
  <c r="L31" i="5"/>
</calcChain>
</file>

<file path=xl/sharedStrings.xml><?xml version="1.0" encoding="utf-8"?>
<sst xmlns="http://schemas.openxmlformats.org/spreadsheetml/2006/main" count="35" uniqueCount="20">
  <si>
    <t>MASTERMIND</t>
  </si>
  <si>
    <t>Legende:</t>
  </si>
  <si>
    <t>Pink</t>
  </si>
  <si>
    <t>W</t>
  </si>
  <si>
    <t>S</t>
  </si>
  <si>
    <t>Braun</t>
  </si>
  <si>
    <t>Gelb</t>
  </si>
  <si>
    <t>Grün</t>
  </si>
  <si>
    <t>created by Flavia
https://github.com/cosycat</t>
  </si>
  <si>
    <t>Colors</t>
  </si>
  <si>
    <t>Blue</t>
  </si>
  <si>
    <t>Red</t>
  </si>
  <si>
    <t>Green</t>
  </si>
  <si>
    <t>Yellow</t>
  </si>
  <si>
    <t>Brown</t>
  </si>
  <si>
    <t>Legend</t>
  </si>
  <si>
    <t>Right Color
Right Place</t>
  </si>
  <si>
    <t>Right Color
Wrong Place</t>
  </si>
  <si>
    <t>Instructions</t>
  </si>
  <si>
    <r>
      <rPr>
        <b/>
        <sz val="11"/>
        <rFont val="Arial"/>
        <family val="2"/>
      </rPr>
      <t>Start:</t>
    </r>
    <r>
      <rPr>
        <sz val="10"/>
        <rFont val="Arial"/>
        <family val="2"/>
      </rPr>
      <t xml:space="preserve">
The green buttons start a new game.
Macros have to be enabled
</t>
    </r>
    <r>
      <rPr>
        <i/>
        <sz val="11"/>
        <rFont val="Arial"/>
        <family val="2"/>
      </rPr>
      <t>Vs Computer:</t>
    </r>
    <r>
      <rPr>
        <sz val="10"/>
        <rFont val="Arial"/>
        <family val="2"/>
      </rPr>
      <t xml:space="preserve">
The Computer chooses 4 colors at random. A color can be chosen multiple times.
</t>
    </r>
    <r>
      <rPr>
        <i/>
        <sz val="11"/>
        <rFont val="Arial"/>
        <family val="2"/>
      </rPr>
      <t>Vs Human:</t>
    </r>
    <r>
      <rPr>
        <sz val="10"/>
        <rFont val="Arial"/>
        <family val="2"/>
      </rPr>
      <t xml:space="preserve">
One player enters the key manualy. They then change to the "Mastermind" worksheet for the other player to guess.
</t>
    </r>
    <r>
      <rPr>
        <b/>
        <sz val="11"/>
        <rFont val="Arial"/>
        <family val="2"/>
      </rPr>
      <t>Enter a guess:</t>
    </r>
    <r>
      <rPr>
        <sz val="10"/>
        <rFont val="Arial"/>
        <family val="2"/>
      </rPr>
      <t xml:space="preserve">
To enter a color, write one of the 6 colors in the 4 large fields. After you entered 4 colors enter a guess with the red button. The computer then fills in the answer to the guess.
</t>
    </r>
    <r>
      <rPr>
        <b/>
        <sz val="11"/>
        <rFont val="Arial"/>
        <family val="2"/>
      </rPr>
      <t>Custom colors:</t>
    </r>
    <r>
      <rPr>
        <sz val="10"/>
        <rFont val="Arial"/>
        <family val="2"/>
      </rPr>
      <t xml:space="preserve">
The colors can be replaced by your own words, number or other signs. But the color formating will always stay the same.
If you chose new colors, a new game must be started before they can be used.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</si>
</sst>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i/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/>
    <xf numFmtId="0" fontId="0" fillId="0" borderId="5" xfId="0" applyBorder="1" applyAlignment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/>
    <xf numFmtId="0" fontId="4" fillId="0" borderId="0" xfId="0" applyFont="1" applyBorder="1" applyAlignment="1">
      <alignment wrapText="1"/>
    </xf>
    <xf numFmtId="0" fontId="4" fillId="5" borderId="13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4" fillId="0" borderId="4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 wrapText="1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8" fillId="3" borderId="14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left" vertical="center" wrapText="1"/>
    </xf>
    <xf numFmtId="0" fontId="6" fillId="4" borderId="29" xfId="0" applyFont="1" applyFill="1" applyBorder="1" applyAlignment="1">
      <alignment horizontal="left" vertical="center" wrapText="1"/>
    </xf>
    <xf numFmtId="0" fontId="5" fillId="6" borderId="31" xfId="0" applyFont="1" applyFill="1" applyBorder="1" applyAlignment="1">
      <alignment horizontal="left" vertical="center" wrapText="1"/>
    </xf>
    <xf numFmtId="0" fontId="0" fillId="6" borderId="18" xfId="0" applyFill="1" applyBorder="1" applyAlignment="1">
      <alignment horizontal="left" vertical="center" wrapText="1"/>
    </xf>
    <xf numFmtId="0" fontId="5" fillId="0" borderId="0" xfId="0" applyFont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5" fillId="2" borderId="22" xfId="0" applyFont="1" applyFill="1" applyBorder="1" applyAlignment="1">
      <alignment horizontal="center"/>
    </xf>
    <xf numFmtId="0" fontId="5" fillId="2" borderId="21" xfId="0" applyFon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2" borderId="32" xfId="0" applyFill="1" applyBorder="1" applyAlignment="1"/>
    <xf numFmtId="0" fontId="0" fillId="2" borderId="29" xfId="0" applyFill="1" applyBorder="1" applyAlignment="1"/>
    <xf numFmtId="0" fontId="0" fillId="2" borderId="18" xfId="0" applyFill="1" applyBorder="1" applyAlignment="1"/>
  </cellXfs>
  <cellStyles count="1">
    <cellStyle name="Normal" xfId="0" builtinId="0"/>
  </cellStyles>
  <dxfs count="32">
    <dxf>
      <font>
        <color auto="1"/>
      </font>
      <fill>
        <patternFill patternType="solid">
          <fgColor indexed="64"/>
          <bgColor rgb="FF3366FF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ill>
        <patternFill>
          <bgColor rgb="FFFF24FF"/>
        </patternFill>
      </fill>
    </dxf>
    <dxf>
      <fill>
        <patternFill>
          <bgColor theme="2" tint="-0.74996185186315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 patternType="solid">
          <fgColor indexed="64"/>
          <bgColor rgb="FF3366FF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ill>
        <patternFill>
          <bgColor rgb="FFFF24FF"/>
        </patternFill>
      </fill>
    </dxf>
    <dxf>
      <fill>
        <patternFill>
          <bgColor theme="2" tint="-0.74996185186315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 patternType="solid">
          <fgColor indexed="64"/>
          <bgColor rgb="FF3366FF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ill>
        <patternFill>
          <bgColor rgb="FFFF24FF"/>
        </patternFill>
      </fill>
    </dxf>
    <dxf>
      <fill>
        <patternFill>
          <bgColor theme="2" tint="-0.74996185186315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 patternType="solid">
          <fgColor indexed="64"/>
          <bgColor rgb="FF3366FF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ill>
        <patternFill>
          <bgColor rgb="FFFF24FF"/>
        </patternFill>
      </fill>
    </dxf>
    <dxf>
      <fill>
        <patternFill>
          <bgColor theme="2" tint="-0.74996185186315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 patternType="solid">
          <fgColor indexed="64"/>
          <bgColor rgb="FF3366FF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ill>
        <patternFill>
          <bgColor rgb="FFFF24FF"/>
        </patternFill>
      </fill>
    </dxf>
    <dxf>
      <fill>
        <patternFill>
          <bgColor theme="2" tint="-0.74996185186315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indexed="8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2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2</xdr:row>
      <xdr:rowOff>50800</xdr:rowOff>
    </xdr:from>
    <xdr:to>
      <xdr:col>9</xdr:col>
      <xdr:colOff>292100</xdr:colOff>
      <xdr:row>3</xdr:row>
      <xdr:rowOff>393700</xdr:rowOff>
    </xdr:to>
    <xdr:sp macro="[0]!NewGamevsComputer" textlink="">
      <xdr:nvSpPr>
        <xdr:cNvPr id="1025" name="AutoShape 1">
          <a:extLst>
            <a:ext uri="{FF2B5EF4-FFF2-40B4-BE49-F238E27FC236}">
              <a16:creationId xmlns:a16="http://schemas.microsoft.com/office/drawing/2014/main" id="{176BF440-12F7-9046-BD62-4A4F49CB42C1}"/>
            </a:ext>
          </a:extLst>
        </xdr:cNvPr>
        <xdr:cNvSpPr>
          <a:spLocks noChangeArrowheads="1"/>
        </xdr:cNvSpPr>
      </xdr:nvSpPr>
      <xdr:spPr bwMode="auto">
        <a:xfrm>
          <a:off x="901700" y="736600"/>
          <a:ext cx="2628900" cy="800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107763" dir="2700000" algn="ctr" rotWithShape="0">
                  <a:srgbClr val="00000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lnSpc>
              <a:spcPts val="2100"/>
            </a:lnSpc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New Game</a:t>
          </a:r>
        </a:p>
        <a:p>
          <a:pPr algn="ctr" rtl="0">
            <a:lnSpc>
              <a:spcPts val="2100"/>
            </a:lnSpc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vs Computer</a:t>
          </a:r>
        </a:p>
      </xdr:txBody>
    </xdr:sp>
    <xdr:clientData/>
  </xdr:twoCellAnchor>
  <xdr:twoCellAnchor>
    <xdr:from>
      <xdr:col>10</xdr:col>
      <xdr:colOff>38100</xdr:colOff>
      <xdr:row>21</xdr:row>
      <xdr:rowOff>38100</xdr:rowOff>
    </xdr:from>
    <xdr:to>
      <xdr:col>11</xdr:col>
      <xdr:colOff>381000</xdr:colOff>
      <xdr:row>22</xdr:row>
      <xdr:rowOff>190500</xdr:rowOff>
    </xdr:to>
    <xdr:sp macro="[0]!Enter" textlink="">
      <xdr:nvSpPr>
        <xdr:cNvPr id="1026" name="AutoShape 2">
          <a:extLst>
            <a:ext uri="{FF2B5EF4-FFF2-40B4-BE49-F238E27FC236}">
              <a16:creationId xmlns:a16="http://schemas.microsoft.com/office/drawing/2014/main" id="{D92EE65F-71D7-0D48-A29B-B7B7858F1A93}"/>
            </a:ext>
          </a:extLst>
        </xdr:cNvPr>
        <xdr:cNvSpPr>
          <a:spLocks noChangeArrowheads="1"/>
        </xdr:cNvSpPr>
      </xdr:nvSpPr>
      <xdr:spPr bwMode="auto">
        <a:xfrm>
          <a:off x="3619500" y="5295900"/>
          <a:ext cx="762000" cy="3810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0806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de-DE" sz="1600" b="0" i="0" u="none" strike="noStrike" baseline="0">
              <a:solidFill>
                <a:srgbClr val="FFFFFF"/>
              </a:solidFill>
              <a:latin typeface="Arial"/>
              <a:ea typeface="Arial"/>
              <a:cs typeface="Arial"/>
            </a:rPr>
            <a:t>Guess</a:t>
          </a:r>
        </a:p>
      </xdr:txBody>
    </xdr:sp>
    <xdr:clientData/>
  </xdr:twoCellAnchor>
  <xdr:twoCellAnchor>
    <xdr:from>
      <xdr:col>10</xdr:col>
      <xdr:colOff>50800</xdr:colOff>
      <xdr:row>2</xdr:row>
      <xdr:rowOff>50800</xdr:rowOff>
    </xdr:from>
    <xdr:to>
      <xdr:col>11</xdr:col>
      <xdr:colOff>381000</xdr:colOff>
      <xdr:row>3</xdr:row>
      <xdr:rowOff>393700</xdr:rowOff>
    </xdr:to>
    <xdr:sp macro="[0]!NewGameHumanvsHuman" textlink="">
      <xdr:nvSpPr>
        <xdr:cNvPr id="1027" name="AutoShape 3">
          <a:extLst>
            <a:ext uri="{FF2B5EF4-FFF2-40B4-BE49-F238E27FC236}">
              <a16:creationId xmlns:a16="http://schemas.microsoft.com/office/drawing/2014/main" id="{1EE173FE-E9B5-FA47-A481-6F59FBCFFEFC}"/>
            </a:ext>
          </a:extLst>
        </xdr:cNvPr>
        <xdr:cNvSpPr>
          <a:spLocks noChangeArrowheads="1"/>
        </xdr:cNvSpPr>
      </xdr:nvSpPr>
      <xdr:spPr bwMode="auto">
        <a:xfrm>
          <a:off x="3632200" y="736600"/>
          <a:ext cx="749300" cy="800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50" b="1" i="0" u="none" strike="noStrike" baseline="0">
              <a:solidFill>
                <a:srgbClr val="000000"/>
              </a:solidFill>
              <a:latin typeface="Arial" panose="020B0604020202020204" pitchFamily="34" charset="0"/>
              <a:ea typeface="Arial"/>
              <a:cs typeface="Arial" panose="020B0604020202020204" pitchFamily="34" charset="0"/>
            </a:rPr>
            <a:t>New Game</a:t>
          </a:r>
        </a:p>
        <a:p>
          <a:pPr algn="ctr" rtl="0">
            <a:defRPr sz="1000"/>
          </a:pPr>
          <a:r>
            <a:rPr lang="de-DE" sz="1050" b="1" i="0" u="none" strike="noStrike" baseline="0">
              <a:solidFill>
                <a:srgbClr val="000000"/>
              </a:solidFill>
              <a:latin typeface="Arial" panose="020B0604020202020204" pitchFamily="34" charset="0"/>
              <a:ea typeface="Arial"/>
              <a:cs typeface="Arial" panose="020B0604020202020204" pitchFamily="34" charset="0"/>
            </a:rPr>
            <a:t>vs</a:t>
          </a:r>
        </a:p>
        <a:p>
          <a:pPr algn="ctr" rtl="0">
            <a:lnSpc>
              <a:spcPts val="1400"/>
            </a:lnSpc>
            <a:defRPr sz="1000"/>
          </a:pPr>
          <a:r>
            <a:rPr lang="de-DE" sz="1050" b="1" i="0" u="none" strike="noStrike" baseline="0">
              <a:solidFill>
                <a:srgbClr val="000000"/>
              </a:solidFill>
              <a:latin typeface="Arial" panose="020B0604020202020204" pitchFamily="34" charset="0"/>
              <a:ea typeface="Arial"/>
              <a:cs typeface="Arial" panose="020B0604020202020204" pitchFamily="34" charset="0"/>
            </a:rPr>
            <a:t>Human</a:t>
          </a:r>
        </a:p>
      </xdr:txBody>
    </xdr:sp>
    <xdr:clientData/>
  </xdr:twoCellAnchor>
  <xdr:twoCellAnchor>
    <xdr:from>
      <xdr:col>2</xdr:col>
      <xdr:colOff>63500</xdr:colOff>
      <xdr:row>21</xdr:row>
      <xdr:rowOff>50800</xdr:rowOff>
    </xdr:from>
    <xdr:to>
      <xdr:col>9</xdr:col>
      <xdr:colOff>292100</xdr:colOff>
      <xdr:row>22</xdr:row>
      <xdr:rowOff>177800</xdr:rowOff>
    </xdr:to>
    <xdr:sp macro="[0]!Solve" textlink="">
      <xdr:nvSpPr>
        <xdr:cNvPr id="1028" name="AutoShape 4">
          <a:extLst>
            <a:ext uri="{FF2B5EF4-FFF2-40B4-BE49-F238E27FC236}">
              <a16:creationId xmlns:a16="http://schemas.microsoft.com/office/drawing/2014/main" id="{300A2B8C-1D79-7346-842C-848BF89A5307}"/>
            </a:ext>
          </a:extLst>
        </xdr:cNvPr>
        <xdr:cNvSpPr>
          <a:spLocks noChangeArrowheads="1"/>
        </xdr:cNvSpPr>
      </xdr:nvSpPr>
      <xdr:spPr bwMode="auto">
        <a:xfrm>
          <a:off x="901700" y="5308600"/>
          <a:ext cx="2628900" cy="3556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de-DE" sz="1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Show Key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:AD25"/>
  <sheetViews>
    <sheetView tabSelected="1" workbookViewId="0">
      <selection activeCell="AG11" sqref="AG11"/>
    </sheetView>
  </sheetViews>
  <sheetFormatPr baseColWidth="10" defaultColWidth="5.5" defaultRowHeight="18" customHeight="1" x14ac:dyDescent="0.15"/>
  <cols>
    <col min="1" max="2" width="5.5" customWidth="1"/>
    <col min="3" max="10" width="4.5" customWidth="1"/>
    <col min="11" max="14" width="5.5" customWidth="1"/>
    <col min="15" max="15" width="1" customWidth="1"/>
    <col min="16" max="16" width="15.6640625" customWidth="1"/>
    <col min="24" max="30" width="4.33203125" customWidth="1"/>
  </cols>
  <sheetData>
    <row r="1" spans="2:30" ht="18" customHeight="1" thickBot="1" x14ac:dyDescent="0.2"/>
    <row r="2" spans="2:30" ht="36" customHeight="1" thickBot="1" x14ac:dyDescent="0.4">
      <c r="B2" s="62" t="s">
        <v>0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4"/>
      <c r="P2" s="46" t="s">
        <v>8</v>
      </c>
      <c r="Q2" s="47"/>
      <c r="R2" s="47"/>
      <c r="X2" s="22" t="s">
        <v>18</v>
      </c>
      <c r="Y2" s="23"/>
      <c r="Z2" s="23"/>
      <c r="AA2" s="23"/>
      <c r="AB2" s="23"/>
      <c r="AC2" s="23"/>
      <c r="AD2" s="24"/>
    </row>
    <row r="3" spans="2:30" ht="36.75" customHeight="1" x14ac:dyDescent="0.15">
      <c r="B3" s="65"/>
      <c r="C3" s="31"/>
      <c r="D3" s="32"/>
      <c r="E3" s="32"/>
      <c r="F3" s="32"/>
      <c r="G3" s="32"/>
      <c r="H3" s="32"/>
      <c r="I3" s="32"/>
      <c r="J3" s="33"/>
      <c r="K3" s="31"/>
      <c r="L3" s="33"/>
      <c r="M3" s="48"/>
      <c r="X3" s="25" t="s">
        <v>19</v>
      </c>
      <c r="Y3" s="26"/>
      <c r="Z3" s="26"/>
      <c r="AA3" s="26"/>
      <c r="AB3" s="26"/>
      <c r="AC3" s="26"/>
      <c r="AD3" s="27"/>
    </row>
    <row r="4" spans="2:30" ht="36.75" customHeight="1" thickBot="1" x14ac:dyDescent="0.2">
      <c r="B4" s="50"/>
      <c r="C4" s="34"/>
      <c r="D4" s="35"/>
      <c r="E4" s="35"/>
      <c r="F4" s="35"/>
      <c r="G4" s="35"/>
      <c r="H4" s="35"/>
      <c r="I4" s="35"/>
      <c r="J4" s="36"/>
      <c r="K4" s="34"/>
      <c r="L4" s="36"/>
      <c r="M4" s="50"/>
      <c r="X4" s="25"/>
      <c r="Y4" s="26"/>
      <c r="Z4" s="26"/>
      <c r="AA4" s="26"/>
      <c r="AB4" s="26"/>
      <c r="AC4" s="26"/>
      <c r="AD4" s="27"/>
    </row>
    <row r="5" spans="2:30" ht="36.75" customHeight="1" thickBot="1" x14ac:dyDescent="0.2">
      <c r="B5" s="49"/>
      <c r="C5" s="37"/>
      <c r="D5" s="38"/>
      <c r="E5" s="38"/>
      <c r="F5" s="38"/>
      <c r="G5" s="38"/>
      <c r="H5" s="38"/>
      <c r="I5" s="38"/>
      <c r="J5" s="39"/>
      <c r="K5" s="40"/>
      <c r="L5" s="41"/>
      <c r="M5" s="49"/>
      <c r="X5" s="25"/>
      <c r="Y5" s="26"/>
      <c r="Z5" s="26"/>
      <c r="AA5" s="26"/>
      <c r="AB5" s="26"/>
      <c r="AC5" s="26"/>
      <c r="AD5" s="27"/>
    </row>
    <row r="6" spans="2:30" ht="18" customHeight="1" thickBot="1" x14ac:dyDescent="0.2">
      <c r="B6" s="48">
        <v>8</v>
      </c>
      <c r="C6" s="68"/>
      <c r="D6" s="69"/>
      <c r="E6" s="69"/>
      <c r="F6" s="69"/>
      <c r="G6" s="69"/>
      <c r="H6" s="69"/>
      <c r="I6" s="69"/>
      <c r="J6" s="71"/>
      <c r="K6" s="16"/>
      <c r="L6" s="17"/>
      <c r="M6" s="48"/>
      <c r="P6" s="21" t="s">
        <v>9</v>
      </c>
      <c r="X6" s="25"/>
      <c r="Y6" s="26"/>
      <c r="Z6" s="26"/>
      <c r="AA6" s="26"/>
      <c r="AB6" s="26"/>
      <c r="AC6" s="26"/>
      <c r="AD6" s="27"/>
    </row>
    <row r="7" spans="2:30" ht="18" customHeight="1" thickBot="1" x14ac:dyDescent="0.2">
      <c r="B7" s="49"/>
      <c r="C7" s="60"/>
      <c r="D7" s="56"/>
      <c r="E7" s="56"/>
      <c r="F7" s="56"/>
      <c r="G7" s="56"/>
      <c r="H7" s="56"/>
      <c r="I7" s="56"/>
      <c r="J7" s="57"/>
      <c r="K7" s="18"/>
      <c r="L7" s="19"/>
      <c r="M7" s="49"/>
      <c r="P7" s="83" t="s">
        <v>10</v>
      </c>
      <c r="X7" s="25"/>
      <c r="Y7" s="26"/>
      <c r="Z7" s="26"/>
      <c r="AA7" s="26"/>
      <c r="AB7" s="26"/>
      <c r="AC7" s="26"/>
      <c r="AD7" s="27"/>
    </row>
    <row r="8" spans="2:30" ht="18" customHeight="1" x14ac:dyDescent="0.15">
      <c r="B8" s="48">
        <v>7</v>
      </c>
      <c r="C8" s="61"/>
      <c r="D8" s="54"/>
      <c r="E8" s="54"/>
      <c r="F8" s="54"/>
      <c r="G8" s="54"/>
      <c r="H8" s="54"/>
      <c r="I8" s="54"/>
      <c r="J8" s="55"/>
      <c r="K8" s="16"/>
      <c r="L8" s="17"/>
      <c r="M8" s="48"/>
      <c r="P8" s="84" t="s">
        <v>11</v>
      </c>
      <c r="X8" s="25"/>
      <c r="Y8" s="26"/>
      <c r="Z8" s="26"/>
      <c r="AA8" s="26"/>
      <c r="AB8" s="26"/>
      <c r="AC8" s="26"/>
      <c r="AD8" s="27"/>
    </row>
    <row r="9" spans="2:30" ht="18" customHeight="1" thickBot="1" x14ac:dyDescent="0.2">
      <c r="B9" s="49"/>
      <c r="C9" s="67"/>
      <c r="D9" s="66"/>
      <c r="E9" s="66"/>
      <c r="F9" s="66"/>
      <c r="G9" s="66"/>
      <c r="H9" s="66"/>
      <c r="I9" s="66"/>
      <c r="J9" s="70"/>
      <c r="K9" s="18"/>
      <c r="L9" s="19"/>
      <c r="M9" s="49"/>
      <c r="P9" s="84" t="s">
        <v>12</v>
      </c>
      <c r="X9" s="25"/>
      <c r="Y9" s="26"/>
      <c r="Z9" s="26"/>
      <c r="AA9" s="26"/>
      <c r="AB9" s="26"/>
      <c r="AC9" s="26"/>
      <c r="AD9" s="27"/>
    </row>
    <row r="10" spans="2:30" ht="18" customHeight="1" x14ac:dyDescent="0.15">
      <c r="B10" s="48">
        <v>6</v>
      </c>
      <c r="C10" s="68"/>
      <c r="D10" s="69"/>
      <c r="E10" s="69"/>
      <c r="F10" s="69"/>
      <c r="G10" s="69"/>
      <c r="H10" s="69"/>
      <c r="I10" s="69"/>
      <c r="J10" s="71"/>
      <c r="K10" s="16"/>
      <c r="L10" s="17"/>
      <c r="M10" s="48"/>
      <c r="P10" s="84" t="s">
        <v>13</v>
      </c>
      <c r="X10" s="25"/>
      <c r="Y10" s="26"/>
      <c r="Z10" s="26"/>
      <c r="AA10" s="26"/>
      <c r="AB10" s="26"/>
      <c r="AC10" s="26"/>
      <c r="AD10" s="27"/>
    </row>
    <row r="11" spans="2:30" ht="18" customHeight="1" thickBot="1" x14ac:dyDescent="0.2">
      <c r="B11" s="49"/>
      <c r="C11" s="60"/>
      <c r="D11" s="56"/>
      <c r="E11" s="56"/>
      <c r="F11" s="56"/>
      <c r="G11" s="56"/>
      <c r="H11" s="56"/>
      <c r="I11" s="56"/>
      <c r="J11" s="57"/>
      <c r="K11" s="18"/>
      <c r="L11" s="19"/>
      <c r="M11" s="49"/>
      <c r="P11" s="84" t="s">
        <v>14</v>
      </c>
      <c r="X11" s="25"/>
      <c r="Y11" s="26"/>
      <c r="Z11" s="26"/>
      <c r="AA11" s="26"/>
      <c r="AB11" s="26"/>
      <c r="AC11" s="26"/>
      <c r="AD11" s="27"/>
    </row>
    <row r="12" spans="2:30" ht="18" customHeight="1" thickBot="1" x14ac:dyDescent="0.2">
      <c r="B12" s="48">
        <v>5</v>
      </c>
      <c r="C12" s="61"/>
      <c r="D12" s="54"/>
      <c r="E12" s="54"/>
      <c r="F12" s="54"/>
      <c r="G12" s="54"/>
      <c r="H12" s="54"/>
      <c r="I12" s="54"/>
      <c r="J12" s="55"/>
      <c r="K12" s="16"/>
      <c r="L12" s="17"/>
      <c r="M12" s="48"/>
      <c r="O12" s="5"/>
      <c r="P12" s="85" t="s">
        <v>2</v>
      </c>
      <c r="X12" s="25"/>
      <c r="Y12" s="26"/>
      <c r="Z12" s="26"/>
      <c r="AA12" s="26"/>
      <c r="AB12" s="26"/>
      <c r="AC12" s="26"/>
      <c r="AD12" s="27"/>
    </row>
    <row r="13" spans="2:30" ht="18" customHeight="1" thickBot="1" x14ac:dyDescent="0.2">
      <c r="B13" s="49"/>
      <c r="C13" s="67"/>
      <c r="D13" s="66"/>
      <c r="E13" s="66"/>
      <c r="F13" s="66"/>
      <c r="G13" s="66"/>
      <c r="H13" s="66"/>
      <c r="I13" s="66"/>
      <c r="J13" s="70"/>
      <c r="K13" s="18"/>
      <c r="L13" s="19"/>
      <c r="M13" s="49"/>
      <c r="Q13" s="5"/>
      <c r="R13" s="5"/>
      <c r="S13" s="5"/>
      <c r="T13" s="5"/>
      <c r="U13" s="5"/>
      <c r="X13" s="25"/>
      <c r="Y13" s="26"/>
      <c r="Z13" s="26"/>
      <c r="AA13" s="26"/>
      <c r="AB13" s="26"/>
      <c r="AC13" s="26"/>
      <c r="AD13" s="27"/>
    </row>
    <row r="14" spans="2:30" ht="18" customHeight="1" thickBot="1" x14ac:dyDescent="0.2">
      <c r="B14" s="48">
        <v>4</v>
      </c>
      <c r="C14" s="68"/>
      <c r="D14" s="69"/>
      <c r="E14" s="69"/>
      <c r="F14" s="69"/>
      <c r="G14" s="69"/>
      <c r="H14" s="69"/>
      <c r="I14" s="69"/>
      <c r="J14" s="71"/>
      <c r="K14" s="16"/>
      <c r="L14" s="17"/>
      <c r="M14" s="48"/>
      <c r="P14" s="21" t="s">
        <v>15</v>
      </c>
      <c r="Q14" s="5"/>
      <c r="R14" s="5"/>
      <c r="S14" s="5"/>
      <c r="T14" s="5"/>
      <c r="U14" s="5"/>
      <c r="X14" s="25"/>
      <c r="Y14" s="26"/>
      <c r="Z14" s="26"/>
      <c r="AA14" s="26"/>
      <c r="AB14" s="26"/>
      <c r="AC14" s="26"/>
      <c r="AD14" s="27"/>
    </row>
    <row r="15" spans="2:30" ht="18" customHeight="1" thickBot="1" x14ac:dyDescent="0.2">
      <c r="B15" s="49"/>
      <c r="C15" s="67"/>
      <c r="D15" s="66"/>
      <c r="E15" s="66"/>
      <c r="F15" s="66"/>
      <c r="G15" s="66"/>
      <c r="H15" s="66"/>
      <c r="I15" s="66"/>
      <c r="J15" s="70"/>
      <c r="K15" s="18"/>
      <c r="L15" s="19"/>
      <c r="M15" s="49"/>
      <c r="P15" s="42" t="s">
        <v>16</v>
      </c>
      <c r="Q15" s="5"/>
      <c r="S15" s="5"/>
      <c r="T15" s="5"/>
      <c r="U15" s="5"/>
      <c r="X15" s="25"/>
      <c r="Y15" s="26"/>
      <c r="Z15" s="26"/>
      <c r="AA15" s="26"/>
      <c r="AB15" s="26"/>
      <c r="AC15" s="26"/>
      <c r="AD15" s="27"/>
    </row>
    <row r="16" spans="2:30" ht="18" customHeight="1" x14ac:dyDescent="0.15">
      <c r="B16" s="48">
        <v>3</v>
      </c>
      <c r="C16" s="68"/>
      <c r="D16" s="69"/>
      <c r="E16" s="69"/>
      <c r="F16" s="69"/>
      <c r="G16" s="69"/>
      <c r="H16" s="69"/>
      <c r="I16" s="69"/>
      <c r="J16" s="71"/>
      <c r="K16" s="16"/>
      <c r="L16" s="17"/>
      <c r="M16" s="48"/>
      <c r="P16" s="43"/>
      <c r="X16" s="25"/>
      <c r="Y16" s="26"/>
      <c r="Z16" s="26"/>
      <c r="AA16" s="26"/>
      <c r="AB16" s="26"/>
      <c r="AC16" s="26"/>
      <c r="AD16" s="27"/>
    </row>
    <row r="17" spans="2:30" ht="18" customHeight="1" thickBot="1" x14ac:dyDescent="0.2">
      <c r="B17" s="49"/>
      <c r="C17" s="60"/>
      <c r="D17" s="56"/>
      <c r="E17" s="56"/>
      <c r="F17" s="56"/>
      <c r="G17" s="56"/>
      <c r="H17" s="56"/>
      <c r="I17" s="56"/>
      <c r="J17" s="57"/>
      <c r="K17" s="18"/>
      <c r="L17" s="19"/>
      <c r="M17" s="49"/>
      <c r="P17" s="44" t="s">
        <v>17</v>
      </c>
      <c r="X17" s="25"/>
      <c r="Y17" s="26"/>
      <c r="Z17" s="26"/>
      <c r="AA17" s="26"/>
      <c r="AB17" s="26"/>
      <c r="AC17" s="26"/>
      <c r="AD17" s="27"/>
    </row>
    <row r="18" spans="2:30" ht="18" customHeight="1" thickBot="1" x14ac:dyDescent="0.2">
      <c r="B18" s="48">
        <v>2</v>
      </c>
      <c r="C18" s="59"/>
      <c r="D18" s="54"/>
      <c r="E18" s="58"/>
      <c r="F18" s="54"/>
      <c r="G18" s="54"/>
      <c r="H18" s="54"/>
      <c r="I18" s="54"/>
      <c r="J18" s="55"/>
      <c r="K18" s="16"/>
      <c r="L18" s="17"/>
      <c r="M18" s="48"/>
      <c r="P18" s="45"/>
      <c r="X18" s="25"/>
      <c r="Y18" s="26"/>
      <c r="Z18" s="26"/>
      <c r="AA18" s="26"/>
      <c r="AB18" s="26"/>
      <c r="AC18" s="26"/>
      <c r="AD18" s="27"/>
    </row>
    <row r="19" spans="2:30" ht="18" customHeight="1" thickBot="1" x14ac:dyDescent="0.2">
      <c r="B19" s="49"/>
      <c r="C19" s="60"/>
      <c r="D19" s="56"/>
      <c r="E19" s="56"/>
      <c r="F19" s="56"/>
      <c r="G19" s="56"/>
      <c r="H19" s="56"/>
      <c r="I19" s="56"/>
      <c r="J19" s="57"/>
      <c r="K19" s="18"/>
      <c r="L19" s="19"/>
      <c r="M19" s="49"/>
      <c r="X19" s="25"/>
      <c r="Y19" s="26"/>
      <c r="Z19" s="26"/>
      <c r="AA19" s="26"/>
      <c r="AB19" s="26"/>
      <c r="AC19" s="26"/>
      <c r="AD19" s="27"/>
    </row>
    <row r="20" spans="2:30" ht="18" customHeight="1" x14ac:dyDescent="0.15">
      <c r="B20" s="48">
        <v>1</v>
      </c>
      <c r="C20" s="61"/>
      <c r="D20" s="54"/>
      <c r="E20" s="58"/>
      <c r="F20" s="54"/>
      <c r="G20" s="58"/>
      <c r="H20" s="54"/>
      <c r="I20" s="54"/>
      <c r="J20" s="55"/>
      <c r="K20" s="16"/>
      <c r="L20" s="17"/>
      <c r="M20" s="48"/>
      <c r="X20" s="25"/>
      <c r="Y20" s="26"/>
      <c r="Z20" s="26"/>
      <c r="AA20" s="26"/>
      <c r="AB20" s="26"/>
      <c r="AC20" s="26"/>
      <c r="AD20" s="27"/>
    </row>
    <row r="21" spans="2:30" ht="18" customHeight="1" thickBot="1" x14ac:dyDescent="0.2">
      <c r="B21" s="49"/>
      <c r="C21" s="60"/>
      <c r="D21" s="56"/>
      <c r="E21" s="56"/>
      <c r="F21" s="56"/>
      <c r="G21" s="56"/>
      <c r="H21" s="56"/>
      <c r="I21" s="56"/>
      <c r="J21" s="57"/>
      <c r="K21" s="18"/>
      <c r="L21" s="19"/>
      <c r="M21" s="49"/>
      <c r="X21" s="25"/>
      <c r="Y21" s="26"/>
      <c r="Z21" s="26"/>
      <c r="AA21" s="26"/>
      <c r="AB21" s="26"/>
      <c r="AC21" s="26"/>
      <c r="AD21" s="27"/>
    </row>
    <row r="22" spans="2:30" ht="18" customHeight="1" x14ac:dyDescent="0.15">
      <c r="B22" s="48"/>
      <c r="C22" s="31"/>
      <c r="D22" s="32"/>
      <c r="E22" s="32"/>
      <c r="F22" s="32"/>
      <c r="G22" s="32"/>
      <c r="H22" s="32"/>
      <c r="I22" s="32"/>
      <c r="J22" s="33"/>
      <c r="K22" s="31"/>
      <c r="L22" s="33"/>
      <c r="M22" s="48"/>
      <c r="X22" s="25"/>
      <c r="Y22" s="26"/>
      <c r="Z22" s="26"/>
      <c r="AA22" s="26"/>
      <c r="AB22" s="26"/>
      <c r="AC22" s="26"/>
      <c r="AD22" s="27"/>
    </row>
    <row r="23" spans="2:30" ht="18" customHeight="1" thickBot="1" x14ac:dyDescent="0.2">
      <c r="B23" s="49"/>
      <c r="C23" s="51"/>
      <c r="D23" s="53"/>
      <c r="E23" s="53"/>
      <c r="F23" s="53"/>
      <c r="G23" s="53"/>
      <c r="H23" s="53"/>
      <c r="I23" s="53"/>
      <c r="J23" s="52"/>
      <c r="K23" s="51"/>
      <c r="L23" s="52"/>
      <c r="M23" s="49"/>
      <c r="X23" s="28"/>
      <c r="Y23" s="29"/>
      <c r="Z23" s="29"/>
      <c r="AA23" s="29"/>
      <c r="AB23" s="29"/>
      <c r="AC23" s="29"/>
      <c r="AD23" s="30"/>
    </row>
    <row r="24" spans="2:30" ht="18" customHeight="1" x14ac:dyDescent="0.15">
      <c r="W24" s="5"/>
      <c r="X24" s="20"/>
      <c r="Y24" s="20"/>
      <c r="Z24" s="20"/>
      <c r="AA24" s="20"/>
      <c r="AB24" s="20"/>
      <c r="AC24" s="20"/>
    </row>
    <row r="25" spans="2:30" ht="18" customHeight="1" x14ac:dyDescent="0.15">
      <c r="W25" s="5"/>
      <c r="X25" s="20"/>
      <c r="Y25" s="20"/>
      <c r="Z25" s="20"/>
      <c r="AA25" s="20"/>
      <c r="AB25" s="20"/>
      <c r="AC25" s="20"/>
    </row>
  </sheetData>
  <mergeCells count="64">
    <mergeCell ref="B12:B13"/>
    <mergeCell ref="B10:B11"/>
    <mergeCell ref="B8:B9"/>
    <mergeCell ref="B6:B7"/>
    <mergeCell ref="B16:B17"/>
    <mergeCell ref="I10:J11"/>
    <mergeCell ref="C16:D17"/>
    <mergeCell ref="E16:F17"/>
    <mergeCell ref="E8:F9"/>
    <mergeCell ref="C8:D9"/>
    <mergeCell ref="G16:H17"/>
    <mergeCell ref="I8:J9"/>
    <mergeCell ref="G8:H9"/>
    <mergeCell ref="G14:H15"/>
    <mergeCell ref="G12:H13"/>
    <mergeCell ref="I16:J17"/>
    <mergeCell ref="G20:H21"/>
    <mergeCell ref="B2:M2"/>
    <mergeCell ref="B3:B5"/>
    <mergeCell ref="E12:F13"/>
    <mergeCell ref="C12:D13"/>
    <mergeCell ref="C14:D15"/>
    <mergeCell ref="E14:F15"/>
    <mergeCell ref="I12:J13"/>
    <mergeCell ref="I14:J15"/>
    <mergeCell ref="C6:D7"/>
    <mergeCell ref="E6:F7"/>
    <mergeCell ref="G6:H7"/>
    <mergeCell ref="I6:J7"/>
    <mergeCell ref="C10:D11"/>
    <mergeCell ref="E10:F11"/>
    <mergeCell ref="G10:H11"/>
    <mergeCell ref="B22:B23"/>
    <mergeCell ref="B20:B21"/>
    <mergeCell ref="B18:B19"/>
    <mergeCell ref="M6:M7"/>
    <mergeCell ref="M8:M9"/>
    <mergeCell ref="M10:M11"/>
    <mergeCell ref="M16:M17"/>
    <mergeCell ref="M20:M21"/>
    <mergeCell ref="M22:M23"/>
    <mergeCell ref="K22:L23"/>
    <mergeCell ref="C22:J23"/>
    <mergeCell ref="M12:M13"/>
    <mergeCell ref="M14:M15"/>
    <mergeCell ref="M18:M19"/>
    <mergeCell ref="B14:B15"/>
    <mergeCell ref="I20:J21"/>
    <mergeCell ref="X2:AD2"/>
    <mergeCell ref="X3:AD23"/>
    <mergeCell ref="C3:J4"/>
    <mergeCell ref="K3:L4"/>
    <mergeCell ref="C5:J5"/>
    <mergeCell ref="K5:L5"/>
    <mergeCell ref="P15:P16"/>
    <mergeCell ref="P17:P18"/>
    <mergeCell ref="P2:R2"/>
    <mergeCell ref="M3:M5"/>
    <mergeCell ref="I18:J19"/>
    <mergeCell ref="G18:H19"/>
    <mergeCell ref="E18:F19"/>
    <mergeCell ref="C18:D19"/>
    <mergeCell ref="C20:D21"/>
    <mergeCell ref="E20:F21"/>
  </mergeCells>
  <phoneticPr fontId="1" type="noConversion"/>
  <conditionalFormatting sqref="K6:L21">
    <cfRule type="cellIs" dxfId="31" priority="31" stopIfTrue="1" operator="equal">
      <formula>"W"</formula>
    </cfRule>
    <cfRule type="cellIs" dxfId="30" priority="32" stopIfTrue="1" operator="equal">
      <formula>"S"</formula>
    </cfRule>
  </conditionalFormatting>
  <conditionalFormatting sqref="C6:J21">
    <cfRule type="cellIs" dxfId="23" priority="25" stopIfTrue="1" operator="equal">
      <formula>$P$10</formula>
    </cfRule>
    <cfRule type="cellIs" dxfId="22" priority="26" stopIfTrue="1" operator="equal">
      <formula>$P$9</formula>
    </cfRule>
    <cfRule type="cellIs" dxfId="21" priority="27" stopIfTrue="1" operator="equal">
      <formula>$P$11</formula>
    </cfRule>
    <cfRule type="cellIs" dxfId="20" priority="28" stopIfTrue="1" operator="equal">
      <formula>$P$12</formula>
    </cfRule>
    <cfRule type="cellIs" dxfId="19" priority="29" stopIfTrue="1" operator="equal">
      <formula>$P$8</formula>
    </cfRule>
    <cfRule type="cellIs" dxfId="18" priority="30" stopIfTrue="1" operator="equal">
      <formula>$P$7</formula>
    </cfRule>
  </conditionalFormatting>
  <conditionalFormatting sqref="P7:P12">
    <cfRule type="cellIs" dxfId="5" priority="1" stopIfTrue="1" operator="equal">
      <formula>$P$10</formula>
    </cfRule>
    <cfRule type="cellIs" dxfId="4" priority="2" stopIfTrue="1" operator="equal">
      <formula>$P$9</formula>
    </cfRule>
    <cfRule type="cellIs" dxfId="3" priority="3" stopIfTrue="1" operator="equal">
      <formula>$P$11</formula>
    </cfRule>
    <cfRule type="cellIs" dxfId="2" priority="4" stopIfTrue="1" operator="equal">
      <formula>$P$12</formula>
    </cfRule>
    <cfRule type="cellIs" dxfId="1" priority="5" stopIfTrue="1" operator="equal">
      <formula>$P$8</formula>
    </cfRule>
    <cfRule type="cellIs" dxfId="0" priority="6" stopIfTrue="1" operator="equal">
      <formula>$P$7</formula>
    </cfRule>
  </conditionalFormatting>
  <pageMargins left="0.75" right="0.75" top="1" bottom="1" header="0.4921259845" footer="0.4921259845"/>
  <pageSetup paperSize="9" orientation="portrait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AX33"/>
  <sheetViews>
    <sheetView workbookViewId="0">
      <selection activeCell="A2" sqref="A2:XFD3"/>
    </sheetView>
  </sheetViews>
  <sheetFormatPr baseColWidth="10" defaultColWidth="5.5" defaultRowHeight="18" customHeight="1" x14ac:dyDescent="0.15"/>
  <cols>
    <col min="1" max="2" width="5.5" customWidth="1"/>
    <col min="3" max="10" width="4.5" customWidth="1"/>
    <col min="11" max="12" width="10.5" customWidth="1"/>
    <col min="13" max="13" width="5" customWidth="1"/>
    <col min="14" max="14" width="5.5" customWidth="1"/>
    <col min="15" max="15" width="4.6640625" customWidth="1"/>
    <col min="16" max="19" width="3.6640625" customWidth="1"/>
    <col min="20" max="20" width="4" customWidth="1"/>
    <col min="21" max="21" width="5" customWidth="1"/>
    <col min="22" max="22" width="4" customWidth="1"/>
    <col min="23" max="23" width="6.33203125" customWidth="1"/>
    <col min="24" max="24" width="4" customWidth="1"/>
    <col min="25" max="25" width="4.6640625" customWidth="1"/>
    <col min="26" max="26" width="4" customWidth="1"/>
    <col min="27" max="27" width="6.6640625" customWidth="1"/>
    <col min="28" max="38" width="5.5" customWidth="1"/>
    <col min="39" max="39" width="6" customWidth="1"/>
  </cols>
  <sheetData>
    <row r="1" spans="1:50" ht="19.5" customHeight="1" thickBot="1" x14ac:dyDescent="0.2">
      <c r="K1" s="5"/>
    </row>
    <row r="2" spans="1:50" ht="24" customHeight="1" x14ac:dyDescent="0.15">
      <c r="A2" s="10"/>
      <c r="B2" s="11"/>
      <c r="C2" s="76" t="s">
        <v>7</v>
      </c>
      <c r="D2" s="77"/>
      <c r="E2" s="76" t="s">
        <v>5</v>
      </c>
      <c r="F2" s="77"/>
      <c r="G2" s="76" t="s">
        <v>7</v>
      </c>
      <c r="H2" s="77"/>
      <c r="I2" s="76" t="s">
        <v>6</v>
      </c>
      <c r="J2" s="77"/>
      <c r="K2" s="5"/>
      <c r="L2" s="5"/>
      <c r="M2" s="5"/>
      <c r="N2" s="5"/>
    </row>
    <row r="3" spans="1:50" ht="24" customHeight="1" thickBot="1" x14ac:dyDescent="0.2">
      <c r="A3" s="5"/>
      <c r="B3" s="5"/>
      <c r="C3" s="78"/>
      <c r="D3" s="79"/>
      <c r="E3" s="78"/>
      <c r="F3" s="79"/>
      <c r="G3" s="78"/>
      <c r="H3" s="79"/>
      <c r="I3" s="78"/>
      <c r="J3" s="79"/>
      <c r="K3" s="4"/>
      <c r="L3" s="5"/>
      <c r="M3" s="5"/>
      <c r="N3" s="5"/>
    </row>
    <row r="4" spans="1:50" ht="19.5" hidden="1" customHeight="1" x14ac:dyDescent="0.15">
      <c r="B4" s="5"/>
      <c r="C4" s="82" t="str">
        <f ca="1">IF(C$6=$E$8,$F$8,IF(C$6=$E$9,$F$9,IF(C$6=$E$10,$F$10,IF(C$6=$E$11,$F$11,IF(C$6=$E$12,$F$12,IF(C$6=$E$13,$F$13,"FEHLER!!"))))))</f>
        <v>Blue</v>
      </c>
      <c r="D4" s="82"/>
      <c r="E4" s="82" t="str">
        <f ca="1">IF(E$6=$E$8,$F$8,IF(E$6=$E$9,$F$9,IF(E$6=$E$10,$F$10,IF(E$6=$E$11,$F$11,IF(E$6=$E$12,$F$12,IF(E$6=$E$13,$F$13,"FEHLER!!"))))))</f>
        <v>Red</v>
      </c>
      <c r="F4" s="82"/>
      <c r="G4" s="82" t="str">
        <f ca="1">IF(G$6=$E$8,$F$8,IF(G$6=$E$9,$F$9,IF(G$6=$E$10,$F$10,IF(G$6=$E$11,$F$11,IF(G$6=$E$12,$F$12,IF(G$6=$E$13,$F$13,"FEHLER!!"))))))</f>
        <v>Pink</v>
      </c>
      <c r="H4" s="82"/>
      <c r="I4" s="82" t="str">
        <f ca="1">IF(I$6=$E$8,$F$8,IF(I$6=$E$9,$F$9,IF(I$6=$E$10,$F$10,IF(I$6=$E$11,$F$11,IF(I$6=$E$12,$F$12,IF(I$6=$E$13,$F$13,"FEHLER!!"))))))</f>
        <v>Red</v>
      </c>
      <c r="J4" s="82"/>
    </row>
    <row r="5" spans="1:50" ht="19.5" hidden="1" customHeight="1" x14ac:dyDescent="0.15"/>
    <row r="6" spans="1:50" ht="19.5" hidden="1" customHeight="1" x14ac:dyDescent="0.15">
      <c r="C6" s="81">
        <f ca="1">ROUND(RAND()*6+0.5,0)</f>
        <v>1</v>
      </c>
      <c r="D6" s="81"/>
      <c r="E6" s="81">
        <f ca="1">ROUND(RAND()*6+0.5,0)</f>
        <v>2</v>
      </c>
      <c r="F6" s="81"/>
      <c r="G6" s="81">
        <f ca="1">ROUND(RAND()*6+0.5,0)</f>
        <v>6</v>
      </c>
      <c r="H6" s="81"/>
      <c r="I6" s="81">
        <f ca="1">ROUND(RAND()*6+0.5,0)</f>
        <v>2</v>
      </c>
      <c r="J6" s="81"/>
    </row>
    <row r="7" spans="1:50" ht="19.5" hidden="1" customHeight="1" x14ac:dyDescent="0.15"/>
    <row r="8" spans="1:50" ht="19.5" hidden="1" customHeight="1" x14ac:dyDescent="0.15">
      <c r="C8" s="81" t="s">
        <v>1</v>
      </c>
      <c r="D8" s="81"/>
      <c r="E8">
        <v>1</v>
      </c>
      <c r="F8" s="80" t="str">
        <f>Mastermind!P7</f>
        <v>Blue</v>
      </c>
      <c r="G8" s="80"/>
    </row>
    <row r="9" spans="1:50" ht="19.5" hidden="1" customHeight="1" x14ac:dyDescent="0.15">
      <c r="E9">
        <v>2</v>
      </c>
      <c r="F9" s="80" t="str">
        <f>Mastermind!P8</f>
        <v>Red</v>
      </c>
      <c r="G9" s="80"/>
    </row>
    <row r="10" spans="1:50" ht="19.5" hidden="1" customHeight="1" x14ac:dyDescent="0.15">
      <c r="E10">
        <v>3</v>
      </c>
      <c r="F10" s="80" t="str">
        <f>Mastermind!P9</f>
        <v>Green</v>
      </c>
      <c r="G10" s="80"/>
    </row>
    <row r="11" spans="1:50" ht="19.5" hidden="1" customHeight="1" x14ac:dyDescent="0.15">
      <c r="E11">
        <v>4</v>
      </c>
      <c r="F11" s="80" t="str">
        <f>Mastermind!P10</f>
        <v>Yellow</v>
      </c>
      <c r="G11" s="80"/>
    </row>
    <row r="12" spans="1:50" ht="19.5" hidden="1" customHeight="1" x14ac:dyDescent="0.15">
      <c r="E12">
        <v>5</v>
      </c>
      <c r="F12" s="80" t="str">
        <f>Mastermind!P11</f>
        <v>Brown</v>
      </c>
      <c r="G12" s="80"/>
    </row>
    <row r="13" spans="1:50" ht="19.5" hidden="1" customHeight="1" x14ac:dyDescent="0.15">
      <c r="E13">
        <v>6</v>
      </c>
      <c r="F13" s="80" t="str">
        <f>Mastermind!P12</f>
        <v>Pink</v>
      </c>
      <c r="G13" s="80"/>
    </row>
    <row r="14" spans="1:50" ht="19.5" hidden="1" customHeight="1" x14ac:dyDescent="0.15">
      <c r="B14" s="5"/>
      <c r="J14" s="5"/>
      <c r="L14" s="5"/>
      <c r="N14" s="6"/>
      <c r="O14" t="str">
        <f>Mastermind!P7</f>
        <v>Blue</v>
      </c>
      <c r="P14" t="str">
        <f>IF($C$2=O14,1,"")</f>
        <v/>
      </c>
      <c r="Q14" t="str">
        <f>IF($E$2=O14,1,"")</f>
        <v/>
      </c>
      <c r="R14" t="str">
        <f>IF($G$2=O14,1,"")</f>
        <v/>
      </c>
      <c r="S14" t="str">
        <f>IF($I$2=O14,1,"")</f>
        <v/>
      </c>
      <c r="T14" s="6">
        <f>COUNT(P14:S14)</f>
        <v>0</v>
      </c>
      <c r="U14" t="str">
        <f>Mastermind!P8</f>
        <v>Red</v>
      </c>
      <c r="V14" t="str">
        <f>IF($C$2=U14,1,"")</f>
        <v/>
      </c>
      <c r="W14" t="str">
        <f>IF($E$2=U14,1,"")</f>
        <v/>
      </c>
      <c r="X14" t="str">
        <f>IF($G$2=U14,1,"")</f>
        <v/>
      </c>
      <c r="Y14" t="str">
        <f>IF($I$2=U14,1,"")</f>
        <v/>
      </c>
      <c r="Z14" s="6">
        <f>COUNT(V14:Y14)</f>
        <v>0</v>
      </c>
      <c r="AA14" t="str">
        <f>Mastermind!P9</f>
        <v>Green</v>
      </c>
      <c r="AB14" t="str">
        <f>IF($C$2=AA14,1,"")</f>
        <v/>
      </c>
      <c r="AC14" t="str">
        <f>IF($E$2=AA14,1,"")</f>
        <v/>
      </c>
      <c r="AD14" t="str">
        <f>IF($G$2=AA14,1,"")</f>
        <v/>
      </c>
      <c r="AE14" t="str">
        <f>IF($I$2=AA14,1,"")</f>
        <v/>
      </c>
      <c r="AF14" s="6">
        <f>COUNT(AB14:AE14)</f>
        <v>0</v>
      </c>
      <c r="AG14" t="str">
        <f>Mastermind!P10</f>
        <v>Yellow</v>
      </c>
      <c r="AH14" t="str">
        <f>IF($C$2=AG14,1,"")</f>
        <v/>
      </c>
      <c r="AI14" t="str">
        <f>IF($E$2=AG14,1,"")</f>
        <v/>
      </c>
      <c r="AJ14" t="str">
        <f>IF($G$2=AG14,1,"")</f>
        <v/>
      </c>
      <c r="AK14" t="str">
        <f>IF($I$2=AG14,1,"")</f>
        <v/>
      </c>
      <c r="AL14" s="6">
        <f>COUNT(AH14:AK14)</f>
        <v>0</v>
      </c>
      <c r="AM14" t="str">
        <f>Mastermind!P11</f>
        <v>Brown</v>
      </c>
      <c r="AN14" t="str">
        <f>IF($C$2=AM14,1,"")</f>
        <v/>
      </c>
      <c r="AO14" t="str">
        <f>IF($E$2=AM14,1,"")</f>
        <v/>
      </c>
      <c r="AP14" t="str">
        <f>IF($G$2=AM14,1,"")</f>
        <v/>
      </c>
      <c r="AQ14" t="str">
        <f>IF($I$2=AM14,1,"")</f>
        <v/>
      </c>
      <c r="AR14" s="6">
        <f>COUNT(AN14:AQ14)</f>
        <v>0</v>
      </c>
      <c r="AS14" t="str">
        <f>Mastermind!P12</f>
        <v>Pink</v>
      </c>
      <c r="AT14" t="str">
        <f>IF($C$2=AS14,1,"")</f>
        <v/>
      </c>
      <c r="AU14" t="str">
        <f>IF($E$2=AS14,1,"")</f>
        <v/>
      </c>
      <c r="AV14" t="str">
        <f>IF($G$2=AS14,1,"")</f>
        <v/>
      </c>
      <c r="AW14" t="str">
        <f>IF($I$2=AS14,1,"")</f>
        <v/>
      </c>
      <c r="AX14" s="6">
        <f>COUNT(AT14:AW14)</f>
        <v>0</v>
      </c>
    </row>
    <row r="15" spans="1:50" ht="19.5" hidden="1" customHeight="1" thickBot="1" x14ac:dyDescent="0.2">
      <c r="B15" s="5"/>
      <c r="J15" s="8"/>
      <c r="L15" s="8"/>
      <c r="N15" s="6"/>
      <c r="T15" s="6"/>
      <c r="Z15" s="6"/>
      <c r="AF15" s="6"/>
      <c r="AL15" s="6"/>
      <c r="AR15" s="6"/>
      <c r="AX15" s="9"/>
    </row>
    <row r="16" spans="1:50" ht="19.5" hidden="1" customHeight="1" x14ac:dyDescent="0.15">
      <c r="C16" s="72" t="str">
        <f>IF(Mastermind!C6="","",Mastermind!C6)</f>
        <v/>
      </c>
      <c r="D16" s="73"/>
      <c r="E16" s="72" t="str">
        <f>IF(Mastermind!E6="","",Mastermind!E6)</f>
        <v/>
      </c>
      <c r="F16" s="73"/>
      <c r="G16" s="72" t="str">
        <f>IF(Mastermind!G6="","",Mastermind!G6)</f>
        <v/>
      </c>
      <c r="H16" s="73"/>
      <c r="I16" s="72" t="str">
        <f>IF(Mastermind!I6="","",Mastermind!I6)</f>
        <v/>
      </c>
      <c r="J16" s="73"/>
      <c r="K16" s="12" t="str">
        <f>IF(N16&gt;=1,M16,IF(N17&gt;=1,M17,""))</f>
        <v/>
      </c>
      <c r="L16" s="13" t="str">
        <f>IF(N16&gt;=2,M16,IF(N17+N16&gt;=2,M17,""))</f>
        <v/>
      </c>
      <c r="M16" s="1" t="s">
        <v>4</v>
      </c>
      <c r="N16" s="3">
        <f>IF(C16=$C$2,1,0)+IF(E16=$E$2,1,0)+IF(G16=$G$2,1,0)+IF(I16=$I$2,1,0)</f>
        <v>0</v>
      </c>
      <c r="O16" s="2" t="str">
        <f>O$14</f>
        <v>Blue</v>
      </c>
      <c r="P16" s="2" t="str">
        <f>IF($C16=O$16,1,"")</f>
        <v/>
      </c>
      <c r="Q16" s="2" t="str">
        <f>IF($E16=O$16,1,"")</f>
        <v/>
      </c>
      <c r="R16" s="2" t="str">
        <f>IF($G16=O$16,1,"")</f>
        <v/>
      </c>
      <c r="S16" s="2" t="str">
        <f>IF($I16=O$16,1,"")</f>
        <v/>
      </c>
      <c r="T16" s="3">
        <f>IF((IF($C16=O16,1,0)+IF($E16=O16,1,0)+IF($G16=O16,1,0)+IF($I16=O16,1,0))&gt;=(IF($C$2=O16,1,0)+IF($E$2=O16,1,0)+IF($G$2=O16,1,0)+IF($I$2=O16,1,0)),(IF($C$2=O16,1,0)+IF($E$2=O16,1,0)+IF($G$2=O16,1,0)+IF($I$2=O16,1,0)),(IF($C16=O16,1,0)+IF($E16=O16,1,0)+IF($G16=O16,1,0)+IF($I16=O16,1,0)))</f>
        <v>0</v>
      </c>
      <c r="U16" s="2" t="str">
        <f>U$14</f>
        <v>Red</v>
      </c>
      <c r="V16" s="2" t="str">
        <f>IF($C16=U$16,1,"")</f>
        <v/>
      </c>
      <c r="W16" s="2" t="str">
        <f>IF($E16=U$16,1,"")</f>
        <v/>
      </c>
      <c r="X16" s="2" t="str">
        <f>IF($G16=U$16,1,"")</f>
        <v/>
      </c>
      <c r="Y16" s="2" t="str">
        <f>IF($I16=U$16,1,"")</f>
        <v/>
      </c>
      <c r="Z16" s="3">
        <f>IF((IF($C16=U16,1,0)+IF($E16=U16,1,0)+IF($G16=U16,1,0)+IF($I16=U16,1,0))&gt;=(IF($C$2=U16,1,0)+IF($E$2=U16,1,0)+IF($G$2=U16,1,0)+IF($I$2=U16,1,0)),(IF($C$2=U16,1,0)+IF($E$2=U16,1,0)+IF($G$2=U16,1,0)+IF($I$2=U16,1,0)),(IF($C16=U16,1,0)+IF($E16=U16,1,0)+IF($G16=U16,1,0)+IF($I16=U16,1,0)))</f>
        <v>0</v>
      </c>
      <c r="AA16" s="2" t="str">
        <f>AA$14</f>
        <v>Green</v>
      </c>
      <c r="AB16" s="2" t="str">
        <f>IF($C16=AA$16,1,"")</f>
        <v/>
      </c>
      <c r="AC16" s="2" t="str">
        <f>IF($E16=AA$16,1,"")</f>
        <v/>
      </c>
      <c r="AD16" s="2" t="str">
        <f>IF($G16=AA$16,1,"")</f>
        <v/>
      </c>
      <c r="AE16" s="2" t="str">
        <f>IF($I16=AA$16,1,"")</f>
        <v/>
      </c>
      <c r="AF16" s="3">
        <f>IF((IF($C16=AA16,1,0)+IF($E16=AA16,1,0)+IF($G16=AA16,1,0)+IF($I16=AA16,1,0))&gt;=(IF($C$2=AA16,1,0)+IF($E$2=AA16,1,0)+IF($G$2=AA16,1,0)+IF($I$2=AA16,1,0)),(IF($C$2=AA16,1,0)+IF($E$2=AA16,1,0)+IF($G$2=AA16,1,0)+IF($I$2=AA16,1,0)),(IF($C16=AA16,1,0)+IF($E16=AA16,1,0)+IF($G16=AA16,1,0)+IF($I16=AA16,1,0)))</f>
        <v>0</v>
      </c>
      <c r="AG16" s="2" t="str">
        <f>AG$14</f>
        <v>Yellow</v>
      </c>
      <c r="AH16" s="2" t="str">
        <f>IF($C16=AG$16,1,"")</f>
        <v/>
      </c>
      <c r="AI16" s="2" t="str">
        <f>IF($E16=AG$16,1,"")</f>
        <v/>
      </c>
      <c r="AJ16" s="2" t="str">
        <f>IF($G16=AG$16,1,"")</f>
        <v/>
      </c>
      <c r="AK16" s="2" t="str">
        <f>IF($I16=AG$16,1,"")</f>
        <v/>
      </c>
      <c r="AL16" s="3">
        <f>IF((IF($C16=AG16,1,0)+IF($E16=AG16,1,0)+IF($G16=AG16,1,0)+IF($I16=AG16,1,0))&gt;=(IF($C$2=AG16,1,0)+IF($E$2=AG16,1,0)+IF($G$2=AG16,1,0)+IF($I$2=AG16,1,0)),(IF($C$2=AG16,1,0)+IF($E$2=AG16,1,0)+IF($G$2=AG16,1,0)+IF($I$2=AG16,1,0)),(IF($C16=AG16,1,0)+IF($E16=AG16,1,0)+IF($G16=AG16,1,0)+IF($I16=AG16,1,0)))</f>
        <v>0</v>
      </c>
      <c r="AM16" s="2" t="str">
        <f>AM$14</f>
        <v>Brown</v>
      </c>
      <c r="AN16" s="2" t="str">
        <f>IF($C16=AM$16,1,"")</f>
        <v/>
      </c>
      <c r="AO16" s="2" t="str">
        <f>IF($E16=AM$16,1,"")</f>
        <v/>
      </c>
      <c r="AP16" s="2" t="str">
        <f>IF($G16=AM$16,1,"")</f>
        <v/>
      </c>
      <c r="AQ16" s="2" t="str">
        <f>IF($I16=AM$16,1,"")</f>
        <v/>
      </c>
      <c r="AR16" s="3">
        <f>IF((IF($C16=AM16,1,0)+IF($E16=AM16,1,0)+IF($G16=AM16,1,0)+IF($I16=AM16,1,0))&gt;=(IF($C$2=AM16,1,0)+IF($E$2=AM16,1,0)+IF($G$2=AM16,1,0)+IF($I$2=AM16,1,0)),(IF($C$2=AM16,1,0)+IF($E$2=AM16,1,0)+IF($G$2=AM16,1,0)+IF($I$2=AM16,1,0)),(IF($C16=AM16,1,0)+IF($E16=AM16,1,0)+IF($G16=AM16,1,0)+IF($I16=AM16,1,0)))</f>
        <v>0</v>
      </c>
      <c r="AS16" s="2" t="str">
        <f>AS$14</f>
        <v>Pink</v>
      </c>
      <c r="AT16" s="2" t="str">
        <f>IF($C16=AS$16,1,"")</f>
        <v/>
      </c>
      <c r="AU16" s="2" t="str">
        <f>IF($E16=AS$16,1,"")</f>
        <v/>
      </c>
      <c r="AV16" s="2" t="str">
        <f>IF($G16=AS$16,1,"")</f>
        <v/>
      </c>
      <c r="AW16" s="2" t="str">
        <f>IF($I16=AS$16,1,"")</f>
        <v/>
      </c>
      <c r="AX16" s="3">
        <f>IF((IF($C16=AS16,1,0)+IF($E16=AS16,1,0)+IF($G16=AS16,1,0)+IF($I16=AS16,1,0))&gt;=(IF($C$2=AS16,1,0)+IF($E$2=AS16,1,0)+IF($G$2=AS16,1,0)+IF($I$2=AS16,1,0)),(IF($C$2=AS16,1,0)+IF($E$2=AS16,1,0)+IF($G$2=AS16,1,0)+IF($I$2=AS16,1,0)),(IF($C16=AS16,1,0)+IF($E16=AS16,1,0)+IF($G16=AS16,1,0)+IF($I16=AS16,1,0)))</f>
        <v>0</v>
      </c>
    </row>
    <row r="17" spans="3:50" ht="19.5" hidden="1" customHeight="1" thickBot="1" x14ac:dyDescent="0.2">
      <c r="C17" s="74"/>
      <c r="D17" s="75"/>
      <c r="E17" s="74"/>
      <c r="F17" s="75"/>
      <c r="G17" s="74"/>
      <c r="H17" s="75"/>
      <c r="I17" s="74"/>
      <c r="J17" s="75"/>
      <c r="K17" s="14" t="str">
        <f>IF(N16&gt;=3,M16,IF(N17+N16&gt;=3,M17,""))</f>
        <v/>
      </c>
      <c r="L17" s="15" t="str">
        <f>IF(N16&gt;=4,M16,IF(N17+N16&gt;=4,M17,""))</f>
        <v/>
      </c>
      <c r="M17" s="7" t="s">
        <v>3</v>
      </c>
      <c r="N17" s="9">
        <f>SUM(T17,Z17,AF17,AL17,AR17,AX17)-N16</f>
        <v>0</v>
      </c>
      <c r="O17" s="5"/>
      <c r="P17" s="5"/>
      <c r="Q17" s="5"/>
      <c r="R17" s="5"/>
      <c r="S17" s="5"/>
      <c r="T17" s="6">
        <f>T16</f>
        <v>0</v>
      </c>
      <c r="U17" s="5"/>
      <c r="V17" s="5"/>
      <c r="W17" s="5"/>
      <c r="X17" s="5"/>
      <c r="Y17" s="5"/>
      <c r="Z17" s="6">
        <f>Z16</f>
        <v>0</v>
      </c>
      <c r="AA17" s="5"/>
      <c r="AB17" s="5"/>
      <c r="AC17" s="5"/>
      <c r="AD17" s="5"/>
      <c r="AE17" s="5"/>
      <c r="AF17" s="6">
        <f>AF16</f>
        <v>0</v>
      </c>
      <c r="AG17" s="5"/>
      <c r="AH17" s="5"/>
      <c r="AI17" s="5"/>
      <c r="AJ17" s="5"/>
      <c r="AK17" s="5"/>
      <c r="AL17" s="6">
        <f>AL16</f>
        <v>0</v>
      </c>
      <c r="AM17" s="5"/>
      <c r="AN17" s="5"/>
      <c r="AO17" s="5"/>
      <c r="AP17" s="5"/>
      <c r="AQ17" s="5"/>
      <c r="AR17" s="6">
        <f>AR16</f>
        <v>0</v>
      </c>
      <c r="AS17" s="5"/>
      <c r="AT17" s="5"/>
      <c r="AU17" s="5"/>
      <c r="AV17" s="5"/>
      <c r="AW17" s="5"/>
      <c r="AX17" s="6">
        <f>AX16</f>
        <v>0</v>
      </c>
    </row>
    <row r="18" spans="3:50" ht="19.5" hidden="1" customHeight="1" x14ac:dyDescent="0.15">
      <c r="C18" s="72" t="str">
        <f>IF(Mastermind!C8="","",Mastermind!C8)</f>
        <v/>
      </c>
      <c r="D18" s="73"/>
      <c r="E18" s="72" t="str">
        <f>IF(Mastermind!E8="","",Mastermind!E8)</f>
        <v/>
      </c>
      <c r="F18" s="73"/>
      <c r="G18" s="72" t="str">
        <f>IF(Mastermind!G8="","",Mastermind!G8)</f>
        <v/>
      </c>
      <c r="H18" s="73"/>
      <c r="I18" s="72" t="str">
        <f>IF(Mastermind!I8="","",Mastermind!I8)</f>
        <v/>
      </c>
      <c r="J18" s="73"/>
      <c r="K18" s="12" t="str">
        <f>IF(N18&gt;=1,M18,IF(N19&gt;=1,M19,""))</f>
        <v/>
      </c>
      <c r="L18" s="13" t="str">
        <f>IF(N18&gt;=2,M18,IF(N19+N18&gt;=2,M19,""))</f>
        <v/>
      </c>
      <c r="M18" s="1" t="s">
        <v>4</v>
      </c>
      <c r="N18" s="3">
        <f>IF(C18=$C$2,1,0)+IF(E18=$E$2,1,0)+IF(G18=$G$2,1,0)+IF(I18=$I$2,1,0)</f>
        <v>0</v>
      </c>
      <c r="O18" s="2" t="str">
        <f>O$14</f>
        <v>Blue</v>
      </c>
      <c r="P18" s="2" t="str">
        <f>IF($C18=O$16,1,"")</f>
        <v/>
      </c>
      <c r="Q18" s="2" t="str">
        <f>IF($E18=O$16,1,"")</f>
        <v/>
      </c>
      <c r="R18" s="2" t="str">
        <f>IF($G18=O$16,1,"")</f>
        <v/>
      </c>
      <c r="S18" s="2" t="str">
        <f>IF($I18=O$16,1,"")</f>
        <v/>
      </c>
      <c r="T18" s="3">
        <f>IF((IF($C18=O18,1,0)+IF($E18=O18,1,0)+IF($G18=O18,1,0)+IF($I18=O18,1,0))&gt;=(IF($C$2=O18,1,0)+IF($E$2=O18,1,0)+IF($G$2=O18,1,0)+IF($I$2=O18,1,0)),(IF($C$2=O18,1,0)+IF($E$2=O18,1,0)+IF($G$2=O18,1,0)+IF($I$2=O18,1,0)),(IF($C18=O18,1,0)+IF($E18=O18,1,0)+IF($G18=O18,1,0)+IF($I18=O18,1,0)))</f>
        <v>0</v>
      </c>
      <c r="U18" s="2" t="str">
        <f>U$14</f>
        <v>Red</v>
      </c>
      <c r="V18" s="2" t="str">
        <f>IF($C18=U$16,1,"")</f>
        <v/>
      </c>
      <c r="W18" s="2" t="str">
        <f>IF($E18=U$16,1,"")</f>
        <v/>
      </c>
      <c r="X18" s="2" t="str">
        <f>IF($G18=U$16,1,"")</f>
        <v/>
      </c>
      <c r="Y18" s="2" t="str">
        <f>IF($I18=U$16,1,"")</f>
        <v/>
      </c>
      <c r="Z18" s="3">
        <f>IF((IF($C18=U18,1,0)+IF($E18=U18,1,0)+IF($G18=U18,1,0)+IF($I18=U18,1,0))&gt;=(IF($C$2=U18,1,0)+IF($E$2=U18,1,0)+IF($G$2=U18,1,0)+IF($I$2=U18,1,0)),(IF($C$2=U18,1,0)+IF($E$2=U18,1,0)+IF($G$2=U18,1,0)+IF($I$2=U18,1,0)),(IF($C18=U18,1,0)+IF($E18=U18,1,0)+IF($G18=U18,1,0)+IF($I18=U18,1,0)))</f>
        <v>0</v>
      </c>
      <c r="AA18" s="2" t="str">
        <f>AA$14</f>
        <v>Green</v>
      </c>
      <c r="AB18" s="2" t="str">
        <f>IF($C18=AA$16,1,"")</f>
        <v/>
      </c>
      <c r="AC18" s="2" t="str">
        <f>IF($E18=AA$16,1,"")</f>
        <v/>
      </c>
      <c r="AD18" s="2" t="str">
        <f>IF($G18=AA$16,1,"")</f>
        <v/>
      </c>
      <c r="AE18" s="2" t="str">
        <f>IF($I18=AA$16,1,"")</f>
        <v/>
      </c>
      <c r="AF18" s="3">
        <f>IF((IF($C18=AA18,1,0)+IF($E18=AA18,1,0)+IF($G18=AA18,1,0)+IF($I18=AA18,1,0))&gt;=(IF($C$2=AA18,1,0)+IF($E$2=AA18,1,0)+IF($G$2=AA18,1,0)+IF($I$2=AA18,1,0)),(IF($C$2=AA18,1,0)+IF($E$2=AA18,1,0)+IF($G$2=AA18,1,0)+IF($I$2=AA18,1,0)),(IF($C18=AA18,1,0)+IF($E18=AA18,1,0)+IF($G18=AA18,1,0)+IF($I18=AA18,1,0)))</f>
        <v>0</v>
      </c>
      <c r="AG18" s="2" t="str">
        <f>AG$14</f>
        <v>Yellow</v>
      </c>
      <c r="AH18" s="2" t="str">
        <f>IF($C18=AG$16,1,"")</f>
        <v/>
      </c>
      <c r="AI18" s="2" t="str">
        <f>IF($E18=AG$16,1,"")</f>
        <v/>
      </c>
      <c r="AJ18" s="2" t="str">
        <f>IF($G18=AG$16,1,"")</f>
        <v/>
      </c>
      <c r="AK18" s="2" t="str">
        <f>IF($I18=AG$16,1,"")</f>
        <v/>
      </c>
      <c r="AL18" s="3">
        <f>IF((IF($C18=AG18,1,0)+IF($E18=AG18,1,0)+IF($G18=AG18,1,0)+IF($I18=AG18,1,0))&gt;=(IF($C$2=AG18,1,0)+IF($E$2=AG18,1,0)+IF($G$2=AG18,1,0)+IF($I$2=AG18,1,0)),(IF($C$2=AG18,1,0)+IF($E$2=AG18,1,0)+IF($G$2=AG18,1,0)+IF($I$2=AG18,1,0)),(IF($C18=AG18,1,0)+IF($E18=AG18,1,0)+IF($G18=AG18,1,0)+IF($I18=AG18,1,0)))</f>
        <v>0</v>
      </c>
      <c r="AM18" s="2" t="str">
        <f>AM$14</f>
        <v>Brown</v>
      </c>
      <c r="AN18" s="2" t="str">
        <f>IF($C18=AM$16,1,"")</f>
        <v/>
      </c>
      <c r="AO18" s="2" t="str">
        <f>IF($E18=AM$16,1,"")</f>
        <v/>
      </c>
      <c r="AP18" s="2" t="str">
        <f>IF($G18=AM$16,1,"")</f>
        <v/>
      </c>
      <c r="AQ18" s="2" t="str">
        <f>IF($I18=AM$16,1,"")</f>
        <v/>
      </c>
      <c r="AR18" s="3">
        <f>IF((IF($C18=AM18,1,0)+IF($E18=AM18,1,0)+IF($G18=AM18,1,0)+IF($I18=AM18,1,0))&gt;=(IF($C$2=AM18,1,0)+IF($E$2=AM18,1,0)+IF($G$2=AM18,1,0)+IF($I$2=AM18,1,0)),(IF($C$2=AM18,1,0)+IF($E$2=AM18,1,0)+IF($G$2=AM18,1,0)+IF($I$2=AM18,1,0)),(IF($C18=AM18,1,0)+IF($E18=AM18,1,0)+IF($G18=AM18,1,0)+IF($I18=AM18,1,0)))</f>
        <v>0</v>
      </c>
      <c r="AS18" s="2" t="str">
        <f>AS$14</f>
        <v>Pink</v>
      </c>
      <c r="AT18" s="2" t="str">
        <f>IF($C18=AS$16,1,"")</f>
        <v/>
      </c>
      <c r="AU18" s="2" t="str">
        <f>IF($E18=AS$16,1,"")</f>
        <v/>
      </c>
      <c r="AV18" s="2" t="str">
        <f>IF($G18=AS$16,1,"")</f>
        <v/>
      </c>
      <c r="AW18" s="2" t="str">
        <f>IF($I18=AS$16,1,"")</f>
        <v/>
      </c>
      <c r="AX18" s="3">
        <f>IF((IF($C18=AS18,1,0)+IF($E18=AS18,1,0)+IF($G18=AS18,1,0)+IF($I18=AS18,1,0))&gt;=(IF($C$2=AS18,1,0)+IF($E$2=AS18,1,0)+IF($G$2=AS18,1,0)+IF($I$2=AS18,1,0)),(IF($C$2=AS18,1,0)+IF($E$2=AS18,1,0)+IF($G$2=AS18,1,0)+IF($I$2=AS18,1,0)),(IF($C18=AS18,1,0)+IF($E18=AS18,1,0)+IF($G18=AS18,1,0)+IF($I18=AS18,1,0)))</f>
        <v>0</v>
      </c>
    </row>
    <row r="19" spans="3:50" ht="19.5" hidden="1" customHeight="1" thickBot="1" x14ac:dyDescent="0.2">
      <c r="C19" s="74"/>
      <c r="D19" s="75"/>
      <c r="E19" s="74"/>
      <c r="F19" s="75"/>
      <c r="G19" s="74"/>
      <c r="H19" s="75"/>
      <c r="I19" s="74"/>
      <c r="J19" s="75"/>
      <c r="K19" s="14" t="str">
        <f>IF(N18&gt;=3,M18,IF(N19+N18&gt;=3,M19,""))</f>
        <v/>
      </c>
      <c r="L19" s="15" t="str">
        <f>IF(N18&gt;=4,M18,IF(N19+N18&gt;=4,M19,""))</f>
        <v/>
      </c>
      <c r="M19" s="7" t="s">
        <v>3</v>
      </c>
      <c r="N19" s="9">
        <f>SUM(T19,Z19,AF19,AL19,AR19,AX19)-N18</f>
        <v>0</v>
      </c>
      <c r="O19" s="5"/>
      <c r="P19" s="5"/>
      <c r="Q19" s="5"/>
      <c r="R19" s="5"/>
      <c r="S19" s="5"/>
      <c r="T19" s="6">
        <f>T18</f>
        <v>0</v>
      </c>
      <c r="U19" s="5"/>
      <c r="V19" s="5"/>
      <c r="W19" s="5"/>
      <c r="X19" s="5"/>
      <c r="Y19" s="5"/>
      <c r="Z19" s="6">
        <f>Z18</f>
        <v>0</v>
      </c>
      <c r="AA19" s="5"/>
      <c r="AB19" s="5"/>
      <c r="AC19" s="5"/>
      <c r="AD19" s="5"/>
      <c r="AE19" s="5"/>
      <c r="AF19" s="6">
        <f>AF18</f>
        <v>0</v>
      </c>
      <c r="AG19" s="5"/>
      <c r="AH19" s="5"/>
      <c r="AI19" s="5"/>
      <c r="AJ19" s="5"/>
      <c r="AK19" s="5"/>
      <c r="AL19" s="6">
        <f>AL18</f>
        <v>0</v>
      </c>
      <c r="AM19" s="5"/>
      <c r="AN19" s="5"/>
      <c r="AO19" s="5"/>
      <c r="AP19" s="5"/>
      <c r="AQ19" s="5"/>
      <c r="AR19" s="6">
        <f>AR18</f>
        <v>0</v>
      </c>
      <c r="AS19" s="5"/>
      <c r="AT19" s="5"/>
      <c r="AU19" s="5"/>
      <c r="AV19" s="5"/>
      <c r="AW19" s="5"/>
      <c r="AX19" s="6">
        <f>AX18</f>
        <v>0</v>
      </c>
    </row>
    <row r="20" spans="3:50" ht="19.5" hidden="1" customHeight="1" x14ac:dyDescent="0.15">
      <c r="C20" s="72" t="str">
        <f>IF(Mastermind!C10="","",Mastermind!C10)</f>
        <v/>
      </c>
      <c r="D20" s="73"/>
      <c r="E20" s="72" t="str">
        <f>IF(Mastermind!E10="","",Mastermind!E10)</f>
        <v/>
      </c>
      <c r="F20" s="73"/>
      <c r="G20" s="72" t="str">
        <f>IF(Mastermind!G10="","",Mastermind!G10)</f>
        <v/>
      </c>
      <c r="H20" s="73"/>
      <c r="I20" s="72" t="str">
        <f>IF(Mastermind!I10="","",Mastermind!I10)</f>
        <v/>
      </c>
      <c r="J20" s="73"/>
      <c r="K20" s="12" t="str">
        <f>IF(N20&gt;=1,M20,IF(N21&gt;=1,M21,""))</f>
        <v/>
      </c>
      <c r="L20" s="13" t="str">
        <f>IF(N20&gt;=2,M20,IF(N21+N20&gt;=2,M21,""))</f>
        <v/>
      </c>
      <c r="M20" s="4" t="s">
        <v>4</v>
      </c>
      <c r="N20" s="6">
        <f>IF(C20=$C$2,1,0)+IF(E20=$E$2,1,0)+IF(G20=$G$2,1,0)+IF(I20=$I$2,1,0)</f>
        <v>0</v>
      </c>
      <c r="O20" s="2" t="str">
        <f>O$14</f>
        <v>Blue</v>
      </c>
      <c r="P20" s="2" t="str">
        <f>IF($C20=O$16,1,"")</f>
        <v/>
      </c>
      <c r="Q20" s="2" t="str">
        <f>IF($E20=O$16,1,"")</f>
        <v/>
      </c>
      <c r="R20" s="2" t="str">
        <f>IF($G20=O$16,1,"")</f>
        <v/>
      </c>
      <c r="S20" s="2" t="str">
        <f>IF($I20=O$16,1,"")</f>
        <v/>
      </c>
      <c r="T20" s="3">
        <f>IF((IF($C20=O20,1,0)+IF($E20=O20,1,0)+IF($G20=O20,1,0)+IF($I20=O20,1,0))&gt;=(IF($C$2=O20,1,0)+IF($E$2=O20,1,0)+IF($G$2=O20,1,0)+IF($I$2=O20,1,0)),(IF($C$2=O20,1,0)+IF($E$2=O20,1,0)+IF($G$2=O20,1,0)+IF($I$2=O20,1,0)),(IF($C20=O20,1,0)+IF($E20=O20,1,0)+IF($G20=O20,1,0)+IF($I20=O20,1,0)))</f>
        <v>0</v>
      </c>
      <c r="U20" s="2" t="str">
        <f>U$14</f>
        <v>Red</v>
      </c>
      <c r="V20" s="2" t="str">
        <f>IF($C20=U$16,1,"")</f>
        <v/>
      </c>
      <c r="W20" s="2" t="str">
        <f>IF($E20=U$16,1,"")</f>
        <v/>
      </c>
      <c r="X20" s="2" t="str">
        <f>IF($G20=U$16,1,"")</f>
        <v/>
      </c>
      <c r="Y20" s="2" t="str">
        <f>IF($I20=U$16,1,"")</f>
        <v/>
      </c>
      <c r="Z20" s="3">
        <f>IF((IF($C20=U20,1,0)+IF($E20=U20,1,0)+IF($G20=U20,1,0)+IF($I20=U20,1,0))&gt;=(IF($C$2=U20,1,0)+IF($E$2=U20,1,0)+IF($G$2=U20,1,0)+IF($I$2=U20,1,0)),(IF($C$2=U20,1,0)+IF($E$2=U20,1,0)+IF($G$2=U20,1,0)+IF($I$2=U20,1,0)),(IF($C20=U20,1,0)+IF($E20=U20,1,0)+IF($G20=U20,1,0)+IF($I20=U20,1,0)))</f>
        <v>0</v>
      </c>
      <c r="AA20" s="2" t="str">
        <f>AA$14</f>
        <v>Green</v>
      </c>
      <c r="AB20" s="2" t="str">
        <f>IF($C20=AA$16,1,"")</f>
        <v/>
      </c>
      <c r="AC20" s="2" t="str">
        <f>IF($E20=AA$16,1,"")</f>
        <v/>
      </c>
      <c r="AD20" s="2" t="str">
        <f>IF($G20=AA$16,1,"")</f>
        <v/>
      </c>
      <c r="AE20" s="2" t="str">
        <f>IF($I20=AA$16,1,"")</f>
        <v/>
      </c>
      <c r="AF20" s="3">
        <f>IF((IF($C20=AA20,1,0)+IF($E20=AA20,1,0)+IF($G20=AA20,1,0)+IF($I20=AA20,1,0))&gt;=(IF($C$2=AA20,1,0)+IF($E$2=AA20,1,0)+IF($G$2=AA20,1,0)+IF($I$2=AA20,1,0)),(IF($C$2=AA20,1,0)+IF($E$2=AA20,1,0)+IF($G$2=AA20,1,0)+IF($I$2=AA20,1,0)),(IF($C20=AA20,1,0)+IF($E20=AA20,1,0)+IF($G20=AA20,1,0)+IF($I20=AA20,1,0)))</f>
        <v>0</v>
      </c>
      <c r="AG20" s="2" t="str">
        <f>AG$14</f>
        <v>Yellow</v>
      </c>
      <c r="AH20" s="2" t="str">
        <f>IF($C20=AG$16,1,"")</f>
        <v/>
      </c>
      <c r="AI20" s="2" t="str">
        <f>IF($E20=AG$16,1,"")</f>
        <v/>
      </c>
      <c r="AJ20" s="2" t="str">
        <f>IF($G20=AG$16,1,"")</f>
        <v/>
      </c>
      <c r="AK20" s="2" t="str">
        <f>IF($I20=AG$16,1,"")</f>
        <v/>
      </c>
      <c r="AL20" s="3">
        <f>IF((IF($C20=AG20,1,0)+IF($E20=AG20,1,0)+IF($G20=AG20,1,0)+IF($I20=AG20,1,0))&gt;=(IF($C$2=AG20,1,0)+IF($E$2=AG20,1,0)+IF($G$2=AG20,1,0)+IF($I$2=AG20,1,0)),(IF($C$2=AG20,1,0)+IF($E$2=AG20,1,0)+IF($G$2=AG20,1,0)+IF($I$2=AG20,1,0)),(IF($C20=AG20,1,0)+IF($E20=AG20,1,0)+IF($G20=AG20,1,0)+IF($I20=AG20,1,0)))</f>
        <v>0</v>
      </c>
      <c r="AM20" s="2" t="str">
        <f>AM$14</f>
        <v>Brown</v>
      </c>
      <c r="AN20" s="2" t="str">
        <f>IF($C20=AM$16,1,"")</f>
        <v/>
      </c>
      <c r="AO20" s="2" t="str">
        <f>IF($E20=AM$16,1,"")</f>
        <v/>
      </c>
      <c r="AP20" s="2" t="str">
        <f>IF($G20=AM$16,1,"")</f>
        <v/>
      </c>
      <c r="AQ20" s="2" t="str">
        <f>IF($I20=AM$16,1,"")</f>
        <v/>
      </c>
      <c r="AR20" s="3">
        <f>IF((IF($C20=AM20,1,0)+IF($E20=AM20,1,0)+IF($G20=AM20,1,0)+IF($I20=AM20,1,0))&gt;=(IF($C$2=AM20,1,0)+IF($E$2=AM20,1,0)+IF($G$2=AM20,1,0)+IF($I$2=AM20,1,0)),(IF($C$2=AM20,1,0)+IF($E$2=AM20,1,0)+IF($G$2=AM20,1,0)+IF($I$2=AM20,1,0)),(IF($C20=AM20,1,0)+IF($E20=AM20,1,0)+IF($G20=AM20,1,0)+IF($I20=AM20,1,0)))</f>
        <v>0</v>
      </c>
      <c r="AS20" s="2" t="str">
        <f>AS$14</f>
        <v>Pink</v>
      </c>
      <c r="AT20" s="2" t="str">
        <f>IF($C20=AS$16,1,"")</f>
        <v/>
      </c>
      <c r="AU20" s="2" t="str">
        <f>IF($E20=AS$16,1,"")</f>
        <v/>
      </c>
      <c r="AV20" s="2" t="str">
        <f>IF($G20=AS$16,1,"")</f>
        <v/>
      </c>
      <c r="AW20" s="2" t="str">
        <f>IF($I20=AS$16,1,"")</f>
        <v/>
      </c>
      <c r="AX20" s="3">
        <f>IF((IF($C20=AS20,1,0)+IF($E20=AS20,1,0)+IF($G20=AS20,1,0)+IF($I20=AS20,1,0))&gt;=(IF($C$2=AS20,1,0)+IF($E$2=AS20,1,0)+IF($G$2=AS20,1,0)+IF($I$2=AS20,1,0)),(IF($C$2=AS20,1,0)+IF($E$2=AS20,1,0)+IF($G$2=AS20,1,0)+IF($I$2=AS20,1,0)),(IF($C20=AS20,1,0)+IF($E20=AS20,1,0)+IF($G20=AS20,1,0)+IF($I20=AS20,1,0)))</f>
        <v>0</v>
      </c>
    </row>
    <row r="21" spans="3:50" ht="19.5" hidden="1" customHeight="1" thickBot="1" x14ac:dyDescent="0.2">
      <c r="C21" s="74"/>
      <c r="D21" s="75"/>
      <c r="E21" s="74"/>
      <c r="F21" s="75"/>
      <c r="G21" s="74"/>
      <c r="H21" s="75"/>
      <c r="I21" s="74"/>
      <c r="J21" s="75"/>
      <c r="K21" s="14" t="str">
        <f>IF(N20&gt;=3,M20,IF(N21+N20&gt;=3,M21,""))</f>
        <v/>
      </c>
      <c r="L21" s="15" t="str">
        <f>IF(N20&gt;=4,M20,IF(N21+N20&gt;=4,M21,""))</f>
        <v/>
      </c>
      <c r="M21" s="4" t="s">
        <v>3</v>
      </c>
      <c r="N21" s="6">
        <f>SUM(T21,Z21,AF21,AL21,AR21,AX21)-N20</f>
        <v>0</v>
      </c>
      <c r="O21" s="5"/>
      <c r="P21" s="5"/>
      <c r="Q21" s="5"/>
      <c r="R21" s="5"/>
      <c r="S21" s="5"/>
      <c r="T21" s="6">
        <f>T20</f>
        <v>0</v>
      </c>
      <c r="U21" s="5"/>
      <c r="V21" s="5"/>
      <c r="W21" s="5"/>
      <c r="X21" s="5"/>
      <c r="Y21" s="5"/>
      <c r="Z21" s="6">
        <f>Z20</f>
        <v>0</v>
      </c>
      <c r="AA21" s="5"/>
      <c r="AB21" s="5"/>
      <c r="AC21" s="5"/>
      <c r="AD21" s="5"/>
      <c r="AE21" s="5"/>
      <c r="AF21" s="6">
        <f>AF20</f>
        <v>0</v>
      </c>
      <c r="AG21" s="5"/>
      <c r="AH21" s="5"/>
      <c r="AI21" s="5"/>
      <c r="AJ21" s="5"/>
      <c r="AK21" s="5"/>
      <c r="AL21" s="6">
        <f>AL20</f>
        <v>0</v>
      </c>
      <c r="AM21" s="5"/>
      <c r="AN21" s="5"/>
      <c r="AO21" s="5"/>
      <c r="AP21" s="5"/>
      <c r="AQ21" s="5"/>
      <c r="AR21" s="6">
        <f>AR20</f>
        <v>0</v>
      </c>
      <c r="AS21" s="5"/>
      <c r="AT21" s="5"/>
      <c r="AU21" s="5"/>
      <c r="AV21" s="5"/>
      <c r="AW21" s="5"/>
      <c r="AX21" s="6">
        <f>AX20</f>
        <v>0</v>
      </c>
    </row>
    <row r="22" spans="3:50" ht="19.5" hidden="1" customHeight="1" x14ac:dyDescent="0.15">
      <c r="C22" s="72" t="str">
        <f>IF(Mastermind!C12="","",Mastermind!C12)</f>
        <v/>
      </c>
      <c r="D22" s="73"/>
      <c r="E22" s="72" t="str">
        <f>IF(Mastermind!E12="","",Mastermind!E12)</f>
        <v/>
      </c>
      <c r="F22" s="73"/>
      <c r="G22" s="72" t="str">
        <f>IF(Mastermind!G12="","",Mastermind!G12)</f>
        <v/>
      </c>
      <c r="H22" s="73"/>
      <c r="I22" s="72" t="str">
        <f>IF(Mastermind!I12="","",Mastermind!I12)</f>
        <v/>
      </c>
      <c r="J22" s="73"/>
      <c r="K22" s="12" t="str">
        <f>IF(N22&gt;=1,M22,IF(N23&gt;=1,M23,""))</f>
        <v/>
      </c>
      <c r="L22" s="13" t="str">
        <f>IF(N22&gt;=2,M22,IF(N23+N22&gt;=2,M23,""))</f>
        <v/>
      </c>
      <c r="M22" s="1" t="s">
        <v>4</v>
      </c>
      <c r="N22" s="3">
        <f>IF(C22=$C$2,1,0)+IF(E22=$E$2,1,0)+IF(G22=$G$2,1,0)+IF(I22=$I$2,1,0)</f>
        <v>0</v>
      </c>
      <c r="O22" s="2" t="str">
        <f>O$14</f>
        <v>Blue</v>
      </c>
      <c r="P22" s="2" t="str">
        <f>IF($C22=O$16,1,"")</f>
        <v/>
      </c>
      <c r="Q22" s="2" t="str">
        <f>IF($E22=O$16,1,"")</f>
        <v/>
      </c>
      <c r="R22" s="2" t="str">
        <f>IF($G22=O$16,1,"")</f>
        <v/>
      </c>
      <c r="S22" s="2" t="str">
        <f>IF($I22=O$16,1,"")</f>
        <v/>
      </c>
      <c r="T22" s="3">
        <f>IF((IF($C22=O22,1,0)+IF($E22=O22,1,0)+IF($G22=O22,1,0)+IF($I22=O22,1,0))&gt;=(IF($C$2=O22,1,0)+IF($E$2=O22,1,0)+IF($G$2=O22,1,0)+IF($I$2=O22,1,0)),(IF($C$2=O22,1,0)+IF($E$2=O22,1,0)+IF($G$2=O22,1,0)+IF($I$2=O22,1,0)),(IF($C22=O22,1,0)+IF($E22=O22,1,0)+IF($G22=O22,1,0)+IF($I22=O22,1,0)))</f>
        <v>0</v>
      </c>
      <c r="U22" s="2" t="str">
        <f>U$14</f>
        <v>Red</v>
      </c>
      <c r="V22" s="2" t="str">
        <f>IF($C22=U$16,1,"")</f>
        <v/>
      </c>
      <c r="W22" s="2" t="str">
        <f>IF($E22=U$16,1,"")</f>
        <v/>
      </c>
      <c r="X22" s="2" t="str">
        <f>IF($G22=U$16,1,"")</f>
        <v/>
      </c>
      <c r="Y22" s="2" t="str">
        <f>IF($I22=U$16,1,"")</f>
        <v/>
      </c>
      <c r="Z22" s="3">
        <f>IF((IF($C22=U22,1,0)+IF($E22=U22,1,0)+IF($G22=U22,1,0)+IF($I22=U22,1,0))&gt;=(IF($C$2=U22,1,0)+IF($E$2=U22,1,0)+IF($G$2=U22,1,0)+IF($I$2=U22,1,0)),(IF($C$2=U22,1,0)+IF($E$2=U22,1,0)+IF($G$2=U22,1,0)+IF($I$2=U22,1,0)),(IF($C22=U22,1,0)+IF($E22=U22,1,0)+IF($G22=U22,1,0)+IF($I22=U22,1,0)))</f>
        <v>0</v>
      </c>
      <c r="AA22" s="2" t="str">
        <f>AA$14</f>
        <v>Green</v>
      </c>
      <c r="AB22" s="2" t="str">
        <f>IF($C22=AA$16,1,"")</f>
        <v/>
      </c>
      <c r="AC22" s="2" t="str">
        <f>IF($E22=AA$16,1,"")</f>
        <v/>
      </c>
      <c r="AD22" s="2" t="str">
        <f>IF($G22=AA$16,1,"")</f>
        <v/>
      </c>
      <c r="AE22" s="2" t="str">
        <f>IF($I22=AA$16,1,"")</f>
        <v/>
      </c>
      <c r="AF22" s="3">
        <f>IF((IF($C22=AA22,1,0)+IF($E22=AA22,1,0)+IF($G22=AA22,1,0)+IF($I22=AA22,1,0))&gt;=(IF($C$2=AA22,1,0)+IF($E$2=AA22,1,0)+IF($G$2=AA22,1,0)+IF($I$2=AA22,1,0)),(IF($C$2=AA22,1,0)+IF($E$2=AA22,1,0)+IF($G$2=AA22,1,0)+IF($I$2=AA22,1,0)),(IF($C22=AA22,1,0)+IF($E22=AA22,1,0)+IF($G22=AA22,1,0)+IF($I22=AA22,1,0)))</f>
        <v>0</v>
      </c>
      <c r="AG22" s="2" t="str">
        <f>AG$14</f>
        <v>Yellow</v>
      </c>
      <c r="AH22" s="2" t="str">
        <f>IF($C22=AG$16,1,"")</f>
        <v/>
      </c>
      <c r="AI22" s="2" t="str">
        <f>IF($E22=AG$16,1,"")</f>
        <v/>
      </c>
      <c r="AJ22" s="2" t="str">
        <f>IF($G22=AG$16,1,"")</f>
        <v/>
      </c>
      <c r="AK22" s="2" t="str">
        <f>IF($I22=AG$16,1,"")</f>
        <v/>
      </c>
      <c r="AL22" s="3">
        <f>IF((IF($C22=AG22,1,0)+IF($E22=AG22,1,0)+IF($G22=AG22,1,0)+IF($I22=AG22,1,0))&gt;=(IF($C$2=AG22,1,0)+IF($E$2=AG22,1,0)+IF($G$2=AG22,1,0)+IF($I$2=AG22,1,0)),(IF($C$2=AG22,1,0)+IF($E$2=AG22,1,0)+IF($G$2=AG22,1,0)+IF($I$2=AG22,1,0)),(IF($C22=AG22,1,0)+IF($E22=AG22,1,0)+IF($G22=AG22,1,0)+IF($I22=AG22,1,0)))</f>
        <v>0</v>
      </c>
      <c r="AM22" s="2" t="str">
        <f>AM$14</f>
        <v>Brown</v>
      </c>
      <c r="AN22" s="2" t="str">
        <f>IF($C22=AM$16,1,"")</f>
        <v/>
      </c>
      <c r="AO22" s="2" t="str">
        <f>IF($E22=AM$16,1,"")</f>
        <v/>
      </c>
      <c r="AP22" s="2" t="str">
        <f>IF($G22=AM$16,1,"")</f>
        <v/>
      </c>
      <c r="AQ22" s="2" t="str">
        <f>IF($I22=AM$16,1,"")</f>
        <v/>
      </c>
      <c r="AR22" s="3">
        <f>IF((IF($C22=AM22,1,0)+IF($E22=AM22,1,0)+IF($G22=AM22,1,0)+IF($I22=AM22,1,0))&gt;=(IF($C$2=AM22,1,0)+IF($E$2=AM22,1,0)+IF($G$2=AM22,1,0)+IF($I$2=AM22,1,0)),(IF($C$2=AM22,1,0)+IF($E$2=AM22,1,0)+IF($G$2=AM22,1,0)+IF($I$2=AM22,1,0)),(IF($C22=AM22,1,0)+IF($E22=AM22,1,0)+IF($G22=AM22,1,0)+IF($I22=AM22,1,0)))</f>
        <v>0</v>
      </c>
      <c r="AS22" s="2" t="str">
        <f>AS$14</f>
        <v>Pink</v>
      </c>
      <c r="AT22" s="2" t="str">
        <f>IF($C22=AS$16,1,"")</f>
        <v/>
      </c>
      <c r="AU22" s="2" t="str">
        <f>IF($E22=AS$16,1,"")</f>
        <v/>
      </c>
      <c r="AV22" s="2" t="str">
        <f>IF($G22=AS$16,1,"")</f>
        <v/>
      </c>
      <c r="AW22" s="2" t="str">
        <f>IF($I22=AS$16,1,"")</f>
        <v/>
      </c>
      <c r="AX22" s="3">
        <f>IF((IF($C22=AS22,1,0)+IF($E22=AS22,1,0)+IF($G22=AS22,1,0)+IF($I22=AS22,1,0))&gt;=(IF($C$2=AS22,1,0)+IF($E$2=AS22,1,0)+IF($G$2=AS22,1,0)+IF($I$2=AS22,1,0)),(IF($C$2=AS22,1,0)+IF($E$2=AS22,1,0)+IF($G$2=AS22,1,0)+IF($I$2=AS22,1,0)),(IF($C22=AS22,1,0)+IF($E22=AS22,1,0)+IF($G22=AS22,1,0)+IF($I22=AS22,1,0)))</f>
        <v>0</v>
      </c>
    </row>
    <row r="23" spans="3:50" ht="19.5" hidden="1" customHeight="1" thickBot="1" x14ac:dyDescent="0.2">
      <c r="C23" s="74"/>
      <c r="D23" s="75"/>
      <c r="E23" s="74"/>
      <c r="F23" s="75"/>
      <c r="G23" s="74"/>
      <c r="H23" s="75"/>
      <c r="I23" s="74"/>
      <c r="J23" s="75"/>
      <c r="K23" s="14" t="str">
        <f>IF(N22&gt;=3,M22,IF(N23+N22&gt;=3,M23,""))</f>
        <v/>
      </c>
      <c r="L23" s="15" t="str">
        <f>IF(N22&gt;=4,M22,IF(N23+N22&gt;=4,M23,""))</f>
        <v/>
      </c>
      <c r="M23" s="4" t="s">
        <v>3</v>
      </c>
      <c r="N23" s="6">
        <f>SUM(T23,Z23,AF23,AL23,AR23,AX23)-N22</f>
        <v>0</v>
      </c>
      <c r="O23" s="5"/>
      <c r="P23" s="5"/>
      <c r="Q23" s="5"/>
      <c r="R23" s="5"/>
      <c r="S23" s="5"/>
      <c r="T23" s="6">
        <f>T22</f>
        <v>0</v>
      </c>
      <c r="U23" s="5"/>
      <c r="V23" s="5"/>
      <c r="W23" s="5"/>
      <c r="X23" s="5"/>
      <c r="Y23" s="5"/>
      <c r="Z23" s="6">
        <f>Z22</f>
        <v>0</v>
      </c>
      <c r="AA23" s="5"/>
      <c r="AB23" s="5"/>
      <c r="AC23" s="5"/>
      <c r="AD23" s="5"/>
      <c r="AE23" s="5"/>
      <c r="AF23" s="6">
        <f>AF22</f>
        <v>0</v>
      </c>
      <c r="AG23" s="5"/>
      <c r="AH23" s="5"/>
      <c r="AI23" s="5"/>
      <c r="AJ23" s="5"/>
      <c r="AK23" s="5"/>
      <c r="AL23" s="6">
        <f>AL22</f>
        <v>0</v>
      </c>
      <c r="AM23" s="5"/>
      <c r="AN23" s="5"/>
      <c r="AO23" s="5"/>
      <c r="AP23" s="5"/>
      <c r="AQ23" s="5"/>
      <c r="AR23" s="6">
        <f>AR22</f>
        <v>0</v>
      </c>
      <c r="AS23" s="5"/>
      <c r="AT23" s="5"/>
      <c r="AU23" s="5"/>
      <c r="AV23" s="5"/>
      <c r="AW23" s="5"/>
      <c r="AX23" s="6">
        <f>AX22</f>
        <v>0</v>
      </c>
    </row>
    <row r="24" spans="3:50" ht="19.5" hidden="1" customHeight="1" x14ac:dyDescent="0.15">
      <c r="C24" s="72" t="str">
        <f>IF(Mastermind!C14="","",Mastermind!C14)</f>
        <v/>
      </c>
      <c r="D24" s="73"/>
      <c r="E24" s="72" t="str">
        <f>IF(Mastermind!E14="","",Mastermind!E14)</f>
        <v/>
      </c>
      <c r="F24" s="73"/>
      <c r="G24" s="72" t="str">
        <f>IF(Mastermind!G14="","",Mastermind!G14)</f>
        <v/>
      </c>
      <c r="H24" s="73"/>
      <c r="I24" s="72" t="str">
        <f>IF(Mastermind!I14="","",Mastermind!I14)</f>
        <v/>
      </c>
      <c r="J24" s="73"/>
      <c r="K24" s="12" t="str">
        <f>IF(N24&gt;=1,M24,IF(N25&gt;=1,M25,""))</f>
        <v/>
      </c>
      <c r="L24" s="13" t="str">
        <f>IF(N24&gt;=2,M24,IF(N25+N24&gt;=2,M25,""))</f>
        <v/>
      </c>
      <c r="M24" s="1" t="s">
        <v>4</v>
      </c>
      <c r="N24" s="3">
        <f>IF(C24=$C$2,1,0)+IF(E24=$E$2,1,0)+IF(G24=$G$2,1,0)+IF(I24=$I$2,1,0)</f>
        <v>0</v>
      </c>
      <c r="O24" s="2" t="str">
        <f>O$14</f>
        <v>Blue</v>
      </c>
      <c r="P24" s="2" t="str">
        <f>IF($C24=O$16,1,"")</f>
        <v/>
      </c>
      <c r="Q24" s="2" t="str">
        <f>IF($E24=O$16,1,"")</f>
        <v/>
      </c>
      <c r="R24" s="2" t="str">
        <f>IF($G24=O$16,1,"")</f>
        <v/>
      </c>
      <c r="S24" s="2" t="str">
        <f>IF($I24=O$16,1,"")</f>
        <v/>
      </c>
      <c r="T24" s="3">
        <f>IF((IF($C24=O24,1,0)+IF($E24=O24,1,0)+IF($G24=O24,1,0)+IF($I24=O24,1,0))&gt;=(IF($C$2=O24,1,0)+IF($E$2=O24,1,0)+IF($G$2=O24,1,0)+IF($I$2=O24,1,0)),(IF($C$2=O24,1,0)+IF($E$2=O24,1,0)+IF($G$2=O24,1,0)+IF($I$2=O24,1,0)),(IF($C24=O24,1,0)+IF($E24=O24,1,0)+IF($G24=O24,1,0)+IF($I24=O24,1,0)))</f>
        <v>0</v>
      </c>
      <c r="U24" s="2" t="str">
        <f>U$14</f>
        <v>Red</v>
      </c>
      <c r="V24" s="2" t="str">
        <f>IF($C24=U$16,1,"")</f>
        <v/>
      </c>
      <c r="W24" s="2" t="str">
        <f>IF($E24=U$16,1,"")</f>
        <v/>
      </c>
      <c r="X24" s="2" t="str">
        <f>IF($G24=U$16,1,"")</f>
        <v/>
      </c>
      <c r="Y24" s="2" t="str">
        <f>IF($I24=U$16,1,"")</f>
        <v/>
      </c>
      <c r="Z24" s="3">
        <f>IF((IF($C24=U24,1,0)+IF($E24=U24,1,0)+IF($G24=U24,1,0)+IF($I24=U24,1,0))&gt;=(IF($C$2=U24,1,0)+IF($E$2=U24,1,0)+IF($G$2=U24,1,0)+IF($I$2=U24,1,0)),(IF($C$2=U24,1,0)+IF($E$2=U24,1,0)+IF($G$2=U24,1,0)+IF($I$2=U24,1,0)),(IF($C24=U24,1,0)+IF($E24=U24,1,0)+IF($G24=U24,1,0)+IF($I24=U24,1,0)))</f>
        <v>0</v>
      </c>
      <c r="AA24" s="2" t="str">
        <f>AA$14</f>
        <v>Green</v>
      </c>
      <c r="AB24" s="2" t="str">
        <f>IF($C24=AA$16,1,"")</f>
        <v/>
      </c>
      <c r="AC24" s="2" t="str">
        <f>IF($E24=AA$16,1,"")</f>
        <v/>
      </c>
      <c r="AD24" s="2" t="str">
        <f>IF($G24=AA$16,1,"")</f>
        <v/>
      </c>
      <c r="AE24" s="2" t="str">
        <f>IF($I24=AA$16,1,"")</f>
        <v/>
      </c>
      <c r="AF24" s="3">
        <f>IF((IF($C24=AA24,1,0)+IF($E24=AA24,1,0)+IF($G24=AA24,1,0)+IF($I24=AA24,1,0))&gt;=(IF($C$2=AA24,1,0)+IF($E$2=AA24,1,0)+IF($G$2=AA24,1,0)+IF($I$2=AA24,1,0)),(IF($C$2=AA24,1,0)+IF($E$2=AA24,1,0)+IF($G$2=AA24,1,0)+IF($I$2=AA24,1,0)),(IF($C24=AA24,1,0)+IF($E24=AA24,1,0)+IF($G24=AA24,1,0)+IF($I24=AA24,1,0)))</f>
        <v>0</v>
      </c>
      <c r="AG24" s="2" t="str">
        <f>AG$14</f>
        <v>Yellow</v>
      </c>
      <c r="AH24" s="2" t="str">
        <f>IF($C24=AG$16,1,"")</f>
        <v/>
      </c>
      <c r="AI24" s="2" t="str">
        <f>IF($E24=AG$16,1,"")</f>
        <v/>
      </c>
      <c r="AJ24" s="2" t="str">
        <f>IF($G24=AG$16,1,"")</f>
        <v/>
      </c>
      <c r="AK24" s="2" t="str">
        <f>IF($I24=AG$16,1,"")</f>
        <v/>
      </c>
      <c r="AL24" s="3">
        <f>IF((IF($C24=AG24,1,0)+IF($E24=AG24,1,0)+IF($G24=AG24,1,0)+IF($I24=AG24,1,0))&gt;=(IF($C$2=AG24,1,0)+IF($E$2=AG24,1,0)+IF($G$2=AG24,1,0)+IF($I$2=AG24,1,0)),(IF($C$2=AG24,1,0)+IF($E$2=AG24,1,0)+IF($G$2=AG24,1,0)+IF($I$2=AG24,1,0)),(IF($C24=AG24,1,0)+IF($E24=AG24,1,0)+IF($G24=AG24,1,0)+IF($I24=AG24,1,0)))</f>
        <v>0</v>
      </c>
      <c r="AM24" s="2" t="str">
        <f>AM$14</f>
        <v>Brown</v>
      </c>
      <c r="AN24" s="2" t="str">
        <f>IF($C24=AM$16,1,"")</f>
        <v/>
      </c>
      <c r="AO24" s="2" t="str">
        <f>IF($E24=AM$16,1,"")</f>
        <v/>
      </c>
      <c r="AP24" s="2" t="str">
        <f>IF($G24=AM$16,1,"")</f>
        <v/>
      </c>
      <c r="AQ24" s="2" t="str">
        <f>IF($I24=AM$16,1,"")</f>
        <v/>
      </c>
      <c r="AR24" s="3">
        <f>IF((IF($C24=AM24,1,0)+IF($E24=AM24,1,0)+IF($G24=AM24,1,0)+IF($I24=AM24,1,0))&gt;=(IF($C$2=AM24,1,0)+IF($E$2=AM24,1,0)+IF($G$2=AM24,1,0)+IF($I$2=AM24,1,0)),(IF($C$2=AM24,1,0)+IF($E$2=AM24,1,0)+IF($G$2=AM24,1,0)+IF($I$2=AM24,1,0)),(IF($C24=AM24,1,0)+IF($E24=AM24,1,0)+IF($G24=AM24,1,0)+IF($I24=AM24,1,0)))</f>
        <v>0</v>
      </c>
      <c r="AS24" s="2" t="str">
        <f>AS$14</f>
        <v>Pink</v>
      </c>
      <c r="AT24" s="2" t="str">
        <f>IF($C24=AS$16,1,"")</f>
        <v/>
      </c>
      <c r="AU24" s="2" t="str">
        <f>IF($E24=AS$16,1,"")</f>
        <v/>
      </c>
      <c r="AV24" s="2" t="str">
        <f>IF($G24=AS$16,1,"")</f>
        <v/>
      </c>
      <c r="AW24" s="2" t="str">
        <f>IF($I24=AS$16,1,"")</f>
        <v/>
      </c>
      <c r="AX24" s="3">
        <f>IF((IF($C24=AS24,1,0)+IF($E24=AS24,1,0)+IF($G24=AS24,1,0)+IF($I24=AS24,1,0))&gt;=(IF($C$2=AS24,1,0)+IF($E$2=AS24,1,0)+IF($G$2=AS24,1,0)+IF($I$2=AS24,1,0)),(IF($C$2=AS24,1,0)+IF($E$2=AS24,1,0)+IF($G$2=AS24,1,0)+IF($I$2=AS24,1,0)),(IF($C24=AS24,1,0)+IF($E24=AS24,1,0)+IF($G24=AS24,1,0)+IF($I24=AS24,1,0)))</f>
        <v>0</v>
      </c>
    </row>
    <row r="25" spans="3:50" ht="19.5" hidden="1" customHeight="1" thickBot="1" x14ac:dyDescent="0.2">
      <c r="C25" s="74"/>
      <c r="D25" s="75"/>
      <c r="E25" s="74"/>
      <c r="F25" s="75"/>
      <c r="G25" s="74"/>
      <c r="H25" s="75"/>
      <c r="I25" s="74"/>
      <c r="J25" s="75"/>
      <c r="K25" s="14" t="str">
        <f>IF(N24&gt;=3,M24,IF(N25+N24&gt;=3,M25,""))</f>
        <v/>
      </c>
      <c r="L25" s="15" t="str">
        <f>IF(N24&gt;=4,M24,IF(N25+N24&gt;=4,M25,""))</f>
        <v/>
      </c>
      <c r="M25" s="4" t="s">
        <v>3</v>
      </c>
      <c r="N25" s="6">
        <f>SUM(T25,Z25,AF25,AL25,AR25,AX25)-N24</f>
        <v>0</v>
      </c>
      <c r="O25" s="5"/>
      <c r="P25" s="5"/>
      <c r="Q25" s="5"/>
      <c r="R25" s="5"/>
      <c r="S25" s="5"/>
      <c r="T25" s="6">
        <f>T24</f>
        <v>0</v>
      </c>
      <c r="U25" s="5"/>
      <c r="V25" s="5"/>
      <c r="W25" s="5"/>
      <c r="X25" s="5"/>
      <c r="Y25" s="5"/>
      <c r="Z25" s="6">
        <f>Z24</f>
        <v>0</v>
      </c>
      <c r="AA25" s="5"/>
      <c r="AB25" s="5"/>
      <c r="AC25" s="5"/>
      <c r="AD25" s="5"/>
      <c r="AE25" s="5"/>
      <c r="AF25" s="6">
        <f>AF24</f>
        <v>0</v>
      </c>
      <c r="AG25" s="5"/>
      <c r="AH25" s="5"/>
      <c r="AI25" s="5"/>
      <c r="AJ25" s="5"/>
      <c r="AK25" s="5"/>
      <c r="AL25" s="6">
        <f>AL24</f>
        <v>0</v>
      </c>
      <c r="AM25" s="5"/>
      <c r="AN25" s="5"/>
      <c r="AO25" s="5"/>
      <c r="AP25" s="5"/>
      <c r="AQ25" s="5"/>
      <c r="AR25" s="6">
        <f>AR24</f>
        <v>0</v>
      </c>
      <c r="AS25" s="5"/>
      <c r="AT25" s="5"/>
      <c r="AU25" s="5"/>
      <c r="AV25" s="5"/>
      <c r="AW25" s="5"/>
      <c r="AX25" s="6">
        <f>AX24</f>
        <v>0</v>
      </c>
    </row>
    <row r="26" spans="3:50" ht="19.5" hidden="1" customHeight="1" x14ac:dyDescent="0.15">
      <c r="C26" s="72" t="str">
        <f>IF(Mastermind!C16="","",Mastermind!C16)</f>
        <v/>
      </c>
      <c r="D26" s="73"/>
      <c r="E26" s="72" t="str">
        <f>IF(Mastermind!E16="","",Mastermind!E16)</f>
        <v/>
      </c>
      <c r="F26" s="73"/>
      <c r="G26" s="72" t="str">
        <f>IF(Mastermind!G16="","",Mastermind!G16)</f>
        <v/>
      </c>
      <c r="H26" s="73"/>
      <c r="I26" s="72" t="str">
        <f>IF(Mastermind!I16="","",Mastermind!I16)</f>
        <v/>
      </c>
      <c r="J26" s="73"/>
      <c r="K26" s="12" t="str">
        <f>IF(N26&gt;=1,M26,IF(N27&gt;=1,M27,""))</f>
        <v/>
      </c>
      <c r="L26" s="13" t="str">
        <f>IF(N26&gt;=2,M26,IF(N27+N26&gt;=2,M27,""))</f>
        <v/>
      </c>
      <c r="M26" s="1" t="s">
        <v>4</v>
      </c>
      <c r="N26" s="3">
        <f>IF(C26=$C$2,1,0)+IF(E26=$E$2,1,0)+IF(G26=$G$2,1,0)+IF(I26=$I$2,1,0)</f>
        <v>0</v>
      </c>
      <c r="O26" s="2" t="str">
        <f>O$14</f>
        <v>Blue</v>
      </c>
      <c r="P26" s="2" t="str">
        <f>IF($C26=O$16,1,"")</f>
        <v/>
      </c>
      <c r="Q26" s="2" t="str">
        <f>IF($E26=O$16,1,"")</f>
        <v/>
      </c>
      <c r="R26" s="2" t="str">
        <f>IF($G26=O$16,1,"")</f>
        <v/>
      </c>
      <c r="S26" s="2" t="str">
        <f>IF($I26=O$16,1,"")</f>
        <v/>
      </c>
      <c r="T26" s="3">
        <f>IF((IF($C26=O26,1,0)+IF($E26=O26,1,0)+IF($G26=O26,1,0)+IF($I26=O26,1,0))&gt;=(IF($C$2=O26,1,0)+IF($E$2=O26,1,0)+IF($G$2=O26,1,0)+IF($I$2=O26,1,0)),(IF($C$2=O26,1,0)+IF($E$2=O26,1,0)+IF($G$2=O26,1,0)+IF($I$2=O26,1,0)),(IF($C26=O26,1,0)+IF($E26=O26,1,0)+IF($G26=O26,1,0)+IF($I26=O26,1,0)))</f>
        <v>0</v>
      </c>
      <c r="U26" s="2" t="str">
        <f>U$14</f>
        <v>Red</v>
      </c>
      <c r="V26" s="2" t="str">
        <f>IF($C26=U$16,1,"")</f>
        <v/>
      </c>
      <c r="W26" s="2" t="str">
        <f>IF($E26=U$16,1,"")</f>
        <v/>
      </c>
      <c r="X26" s="2" t="str">
        <f>IF($G26=U$16,1,"")</f>
        <v/>
      </c>
      <c r="Y26" s="2" t="str">
        <f>IF($I26=U$16,1,"")</f>
        <v/>
      </c>
      <c r="Z26" s="3">
        <f>IF((IF($C26=U26,1,0)+IF($E26=U26,1,0)+IF($G26=U26,1,0)+IF($I26=U26,1,0))&gt;=(IF($C$2=U26,1,0)+IF($E$2=U26,1,0)+IF($G$2=U26,1,0)+IF($I$2=U26,1,0)),(IF($C$2=U26,1,0)+IF($E$2=U26,1,0)+IF($G$2=U26,1,0)+IF($I$2=U26,1,0)),(IF($C26=U26,1,0)+IF($E26=U26,1,0)+IF($G26=U26,1,0)+IF($I26=U26,1,0)))</f>
        <v>0</v>
      </c>
      <c r="AA26" s="2" t="str">
        <f>AA$14</f>
        <v>Green</v>
      </c>
      <c r="AB26" s="2" t="str">
        <f>IF($C26=AA$16,1,"")</f>
        <v/>
      </c>
      <c r="AC26" s="2" t="str">
        <f>IF($E26=AA$16,1,"")</f>
        <v/>
      </c>
      <c r="AD26" s="2" t="str">
        <f>IF($G26=AA$16,1,"")</f>
        <v/>
      </c>
      <c r="AE26" s="2" t="str">
        <f>IF($I26=AA$16,1,"")</f>
        <v/>
      </c>
      <c r="AF26" s="3">
        <f>IF((IF($C26=AA26,1,0)+IF($E26=AA26,1,0)+IF($G26=AA26,1,0)+IF($I26=AA26,1,0))&gt;=(IF($C$2=AA26,1,0)+IF($E$2=AA26,1,0)+IF($G$2=AA26,1,0)+IF($I$2=AA26,1,0)),(IF($C$2=AA26,1,0)+IF($E$2=AA26,1,0)+IF($G$2=AA26,1,0)+IF($I$2=AA26,1,0)),(IF($C26=AA26,1,0)+IF($E26=AA26,1,0)+IF($G26=AA26,1,0)+IF($I26=AA26,1,0)))</f>
        <v>0</v>
      </c>
      <c r="AG26" s="2" t="str">
        <f>AG$14</f>
        <v>Yellow</v>
      </c>
      <c r="AH26" s="2" t="str">
        <f>IF($C26=AG$16,1,"")</f>
        <v/>
      </c>
      <c r="AI26" s="2" t="str">
        <f>IF($E26=AG$16,1,"")</f>
        <v/>
      </c>
      <c r="AJ26" s="2" t="str">
        <f>IF($G26=AG$16,1,"")</f>
        <v/>
      </c>
      <c r="AK26" s="2" t="str">
        <f>IF($I26=AG$16,1,"")</f>
        <v/>
      </c>
      <c r="AL26" s="3">
        <f>IF((IF($C26=AG26,1,0)+IF($E26=AG26,1,0)+IF($G26=AG26,1,0)+IF($I26=AG26,1,0))&gt;=(IF($C$2=AG26,1,0)+IF($E$2=AG26,1,0)+IF($G$2=AG26,1,0)+IF($I$2=AG26,1,0)),(IF($C$2=AG26,1,0)+IF($E$2=AG26,1,0)+IF($G$2=AG26,1,0)+IF($I$2=AG26,1,0)),(IF($C26=AG26,1,0)+IF($E26=AG26,1,0)+IF($G26=AG26,1,0)+IF($I26=AG26,1,0)))</f>
        <v>0</v>
      </c>
      <c r="AM26" s="2" t="str">
        <f>AM$14</f>
        <v>Brown</v>
      </c>
      <c r="AN26" s="2" t="str">
        <f>IF($C26=AM$16,1,"")</f>
        <v/>
      </c>
      <c r="AO26" s="2" t="str">
        <f>IF($E26=AM$16,1,"")</f>
        <v/>
      </c>
      <c r="AP26" s="2" t="str">
        <f>IF($G26=AM$16,1,"")</f>
        <v/>
      </c>
      <c r="AQ26" s="2" t="str">
        <f>IF($I26=AM$16,1,"")</f>
        <v/>
      </c>
      <c r="AR26" s="3">
        <f>IF((IF($C26=AM26,1,0)+IF($E26=AM26,1,0)+IF($G26=AM26,1,0)+IF($I26=AM26,1,0))&gt;=(IF($C$2=AM26,1,0)+IF($E$2=AM26,1,0)+IF($G$2=AM26,1,0)+IF($I$2=AM26,1,0)),(IF($C$2=AM26,1,0)+IF($E$2=AM26,1,0)+IF($G$2=AM26,1,0)+IF($I$2=AM26,1,0)),(IF($C26=AM26,1,0)+IF($E26=AM26,1,0)+IF($G26=AM26,1,0)+IF($I26=AM26,1,0)))</f>
        <v>0</v>
      </c>
      <c r="AS26" s="2" t="str">
        <f>AS$14</f>
        <v>Pink</v>
      </c>
      <c r="AT26" s="2" t="str">
        <f>IF($C26=AS$16,1,"")</f>
        <v/>
      </c>
      <c r="AU26" s="2" t="str">
        <f>IF($E26=AS$16,1,"")</f>
        <v/>
      </c>
      <c r="AV26" s="2" t="str">
        <f>IF($G26=AS$16,1,"")</f>
        <v/>
      </c>
      <c r="AW26" s="2" t="str">
        <f>IF($I26=AS$16,1,"")</f>
        <v/>
      </c>
      <c r="AX26" s="3">
        <f>IF((IF($C26=AS26,1,0)+IF($E26=AS26,1,0)+IF($G26=AS26,1,0)+IF($I26=AS26,1,0))&gt;=(IF($C$2=AS26,1,0)+IF($E$2=AS26,1,0)+IF($G$2=AS26,1,0)+IF($I$2=AS26,1,0)),(IF($C$2=AS26,1,0)+IF($E$2=AS26,1,0)+IF($G$2=AS26,1,0)+IF($I$2=AS26,1,0)),(IF($C26=AS26,1,0)+IF($E26=AS26,1,0)+IF($G26=AS26,1,0)+IF($I26=AS26,1,0)))</f>
        <v>0</v>
      </c>
    </row>
    <row r="27" spans="3:50" ht="19.5" hidden="1" customHeight="1" thickBot="1" x14ac:dyDescent="0.2">
      <c r="C27" s="74"/>
      <c r="D27" s="75"/>
      <c r="E27" s="74"/>
      <c r="F27" s="75"/>
      <c r="G27" s="74"/>
      <c r="H27" s="75"/>
      <c r="I27" s="74"/>
      <c r="J27" s="75"/>
      <c r="K27" s="14" t="str">
        <f>IF(N26&gt;=3,M26,IF(N27+N26&gt;=3,M27,""))</f>
        <v/>
      </c>
      <c r="L27" s="15" t="str">
        <f>IF(N26&gt;=4,M26,IF(N27+N26&gt;=4,M27,""))</f>
        <v/>
      </c>
      <c r="M27" s="7" t="s">
        <v>3</v>
      </c>
      <c r="N27" s="9">
        <f>SUM(T27,Z27,AF27,AL27,AR27,AX27)-N26</f>
        <v>0</v>
      </c>
      <c r="O27" s="5"/>
      <c r="P27" s="5"/>
      <c r="Q27" s="5"/>
      <c r="R27" s="5"/>
      <c r="S27" s="5"/>
      <c r="T27" s="6">
        <f>T26</f>
        <v>0</v>
      </c>
      <c r="U27" s="5"/>
      <c r="V27" s="5"/>
      <c r="W27" s="5"/>
      <c r="X27" s="5"/>
      <c r="Y27" s="5"/>
      <c r="Z27" s="6">
        <f>Z26</f>
        <v>0</v>
      </c>
      <c r="AA27" s="5"/>
      <c r="AB27" s="5"/>
      <c r="AC27" s="5"/>
      <c r="AD27" s="5"/>
      <c r="AE27" s="5"/>
      <c r="AF27" s="6">
        <f>AF26</f>
        <v>0</v>
      </c>
      <c r="AG27" s="5"/>
      <c r="AH27" s="5"/>
      <c r="AI27" s="5"/>
      <c r="AJ27" s="5"/>
      <c r="AK27" s="5"/>
      <c r="AL27" s="6">
        <f>AL26</f>
        <v>0</v>
      </c>
      <c r="AM27" s="5"/>
      <c r="AN27" s="5"/>
      <c r="AO27" s="5"/>
      <c r="AP27" s="5"/>
      <c r="AQ27" s="5"/>
      <c r="AR27" s="6">
        <f>AR26</f>
        <v>0</v>
      </c>
      <c r="AS27" s="5"/>
      <c r="AT27" s="5"/>
      <c r="AU27" s="5"/>
      <c r="AV27" s="5"/>
      <c r="AW27" s="5"/>
      <c r="AX27" s="6">
        <f>AX26</f>
        <v>0</v>
      </c>
    </row>
    <row r="28" spans="3:50" ht="19.5" hidden="1" customHeight="1" x14ac:dyDescent="0.15">
      <c r="C28" s="72" t="str">
        <f>IF(Mastermind!C18="","",Mastermind!C18)</f>
        <v/>
      </c>
      <c r="D28" s="73"/>
      <c r="E28" s="72" t="str">
        <f>IF(Mastermind!E18="","",Mastermind!E18)</f>
        <v/>
      </c>
      <c r="F28" s="73"/>
      <c r="G28" s="72" t="str">
        <f>IF(Mastermind!G18="","",Mastermind!G18)</f>
        <v/>
      </c>
      <c r="H28" s="73"/>
      <c r="I28" s="72" t="str">
        <f>IF(Mastermind!I18="","",Mastermind!I18)</f>
        <v/>
      </c>
      <c r="J28" s="73"/>
      <c r="K28" s="12" t="str">
        <f>IF(N28&gt;=1,M28,IF(N29&gt;=1,M29,""))</f>
        <v/>
      </c>
      <c r="L28" s="13" t="str">
        <f>IF(N28&gt;=2,M28,IF(N29+N28&gt;=2,M29,""))</f>
        <v/>
      </c>
      <c r="M28" s="4" t="s">
        <v>4</v>
      </c>
      <c r="N28" s="6">
        <f>IF(C28=$C$2,1,0)+IF(E28=$E$2,1,0)+IF(G28=$G$2,1,0)+IF(I28=$I$2,1,0)</f>
        <v>0</v>
      </c>
      <c r="O28" s="2" t="str">
        <f>O$14</f>
        <v>Blue</v>
      </c>
      <c r="P28" s="2" t="str">
        <f>IF($C28=O$16,1,"")</f>
        <v/>
      </c>
      <c r="Q28" s="2" t="str">
        <f>IF($E28=O$16,1,"")</f>
        <v/>
      </c>
      <c r="R28" s="2" t="str">
        <f>IF($G28=O$16,1,"")</f>
        <v/>
      </c>
      <c r="S28" s="2" t="str">
        <f>IF($I28=O$16,1,"")</f>
        <v/>
      </c>
      <c r="T28" s="3">
        <f>IF((IF($C28=O28,1,0)+IF($E28=O28,1,0)+IF($G28=O28,1,0)+IF($I28=O28,1,0))&gt;=(IF($C$2=O28,1,0)+IF($E$2=O28,1,0)+IF($G$2=O28,1,0)+IF($I$2=O28,1,0)),(IF($C$2=O28,1,0)+IF($E$2=O28,1,0)+IF($G$2=O28,1,0)+IF($I$2=O28,1,0)),(IF($C28=O28,1,0)+IF($E28=O28,1,0)+IF($G28=O28,1,0)+IF($I28=O28,1,0)))</f>
        <v>0</v>
      </c>
      <c r="U28" s="2" t="str">
        <f>U$14</f>
        <v>Red</v>
      </c>
      <c r="V28" s="2" t="str">
        <f>IF($C28=U$16,1,"")</f>
        <v/>
      </c>
      <c r="W28" s="2" t="str">
        <f>IF($E28=U$16,1,"")</f>
        <v/>
      </c>
      <c r="X28" s="2" t="str">
        <f>IF($G28=U$16,1,"")</f>
        <v/>
      </c>
      <c r="Y28" s="2" t="str">
        <f>IF($I28=U$16,1,"")</f>
        <v/>
      </c>
      <c r="Z28" s="3">
        <f>IF((IF($C28=U28,1,0)+IF($E28=U28,1,0)+IF($G28=U28,1,0)+IF($I28=U28,1,0))&gt;=(IF($C$2=U28,1,0)+IF($E$2=U28,1,0)+IF($G$2=U28,1,0)+IF($I$2=U28,1,0)),(IF($C$2=U28,1,0)+IF($E$2=U28,1,0)+IF($G$2=U28,1,0)+IF($I$2=U28,1,0)),(IF($C28=U28,1,0)+IF($E28=U28,1,0)+IF($G28=U28,1,0)+IF($I28=U28,1,0)))</f>
        <v>0</v>
      </c>
      <c r="AA28" s="2" t="str">
        <f>AA$14</f>
        <v>Green</v>
      </c>
      <c r="AB28" s="2" t="str">
        <f>IF($C28=AA$16,1,"")</f>
        <v/>
      </c>
      <c r="AC28" s="2" t="str">
        <f>IF($E28=AA$16,1,"")</f>
        <v/>
      </c>
      <c r="AD28" s="2" t="str">
        <f>IF($G28=AA$16,1,"")</f>
        <v/>
      </c>
      <c r="AE28" s="2" t="str">
        <f>IF($I28=AA$16,1,"")</f>
        <v/>
      </c>
      <c r="AF28" s="3">
        <f>IF((IF($C28=AA28,1,0)+IF($E28=AA28,1,0)+IF($G28=AA28,1,0)+IF($I28=AA28,1,0))&gt;=(IF($C$2=AA28,1,0)+IF($E$2=AA28,1,0)+IF($G$2=AA28,1,0)+IF($I$2=AA28,1,0)),(IF($C$2=AA28,1,0)+IF($E$2=AA28,1,0)+IF($G$2=AA28,1,0)+IF($I$2=AA28,1,0)),(IF($C28=AA28,1,0)+IF($E28=AA28,1,0)+IF($G28=AA28,1,0)+IF($I28=AA28,1,0)))</f>
        <v>0</v>
      </c>
      <c r="AG28" s="2" t="str">
        <f>AG$14</f>
        <v>Yellow</v>
      </c>
      <c r="AH28" s="2" t="str">
        <f>IF($C28=AG$16,1,"")</f>
        <v/>
      </c>
      <c r="AI28" s="2" t="str">
        <f>IF($E28=AG$16,1,"")</f>
        <v/>
      </c>
      <c r="AJ28" s="2" t="str">
        <f>IF($G28=AG$16,1,"")</f>
        <v/>
      </c>
      <c r="AK28" s="2" t="str">
        <f>IF($I28=AG$16,1,"")</f>
        <v/>
      </c>
      <c r="AL28" s="3">
        <f>IF((IF($C28=AG28,1,0)+IF($E28=AG28,1,0)+IF($G28=AG28,1,0)+IF($I28=AG28,1,0))&gt;=(IF($C$2=AG28,1,0)+IF($E$2=AG28,1,0)+IF($G$2=AG28,1,0)+IF($I$2=AG28,1,0)),(IF($C$2=AG28,1,0)+IF($E$2=AG28,1,0)+IF($G$2=AG28,1,0)+IF($I$2=AG28,1,0)),(IF($C28=AG28,1,0)+IF($E28=AG28,1,0)+IF($G28=AG28,1,0)+IF($I28=AG28,1,0)))</f>
        <v>0</v>
      </c>
      <c r="AM28" s="2" t="str">
        <f>AM$14</f>
        <v>Brown</v>
      </c>
      <c r="AN28" s="2" t="str">
        <f>IF($C28=AM$16,1,"")</f>
        <v/>
      </c>
      <c r="AO28" s="2" t="str">
        <f>IF($E28=AM$16,1,"")</f>
        <v/>
      </c>
      <c r="AP28" s="2" t="str">
        <f>IF($G28=AM$16,1,"")</f>
        <v/>
      </c>
      <c r="AQ28" s="2" t="str">
        <f>IF($I28=AM$16,1,"")</f>
        <v/>
      </c>
      <c r="AR28" s="3">
        <f>IF((IF($C28=AM28,1,0)+IF($E28=AM28,1,0)+IF($G28=AM28,1,0)+IF($I28=AM28,1,0))&gt;=(IF($C$2=AM28,1,0)+IF($E$2=AM28,1,0)+IF($G$2=AM28,1,0)+IF($I$2=AM28,1,0)),(IF($C$2=AM28,1,0)+IF($E$2=AM28,1,0)+IF($G$2=AM28,1,0)+IF($I$2=AM28,1,0)),(IF($C28=AM28,1,0)+IF($E28=AM28,1,0)+IF($G28=AM28,1,0)+IF($I28=AM28,1,0)))</f>
        <v>0</v>
      </c>
      <c r="AS28" s="2" t="str">
        <f>AS$14</f>
        <v>Pink</v>
      </c>
      <c r="AT28" s="2" t="str">
        <f>IF($C28=AS$16,1,"")</f>
        <v/>
      </c>
      <c r="AU28" s="2" t="str">
        <f>IF($E28=AS$16,1,"")</f>
        <v/>
      </c>
      <c r="AV28" s="2" t="str">
        <f>IF($G28=AS$16,1,"")</f>
        <v/>
      </c>
      <c r="AW28" s="2" t="str">
        <f>IF($I28=AS$16,1,"")</f>
        <v/>
      </c>
      <c r="AX28" s="3">
        <f>IF((IF($C28=AS28,1,0)+IF($E28=AS28,1,0)+IF($G28=AS28,1,0)+IF($I28=AS28,1,0))&gt;=(IF($C$2=AS28,1,0)+IF($E$2=AS28,1,0)+IF($G$2=AS28,1,0)+IF($I$2=AS28,1,0)),(IF($C$2=AS28,1,0)+IF($E$2=AS28,1,0)+IF($G$2=AS28,1,0)+IF($I$2=AS28,1,0)),(IF($C28=AS28,1,0)+IF($E28=AS28,1,0)+IF($G28=AS28,1,0)+IF($I28=AS28,1,0)))</f>
        <v>0</v>
      </c>
    </row>
    <row r="29" spans="3:50" ht="19.5" hidden="1" customHeight="1" thickBot="1" x14ac:dyDescent="0.2">
      <c r="C29" s="74"/>
      <c r="D29" s="75"/>
      <c r="E29" s="74"/>
      <c r="F29" s="75"/>
      <c r="G29" s="74"/>
      <c r="H29" s="75"/>
      <c r="I29" s="74"/>
      <c r="J29" s="75"/>
      <c r="K29" s="14" t="str">
        <f>IF(N28&gt;=3,M28,IF(N29+N28&gt;=3,M29,""))</f>
        <v/>
      </c>
      <c r="L29" s="15" t="str">
        <f>IF(N28&gt;=4,M28,IF(N29+N28&gt;=4,M29,""))</f>
        <v/>
      </c>
      <c r="M29" s="7" t="s">
        <v>3</v>
      </c>
      <c r="N29" s="9">
        <f>SUM(T29,Z29,AF29,AL29,AR29,AX29)-N28</f>
        <v>0</v>
      </c>
      <c r="O29" s="5"/>
      <c r="P29" s="5"/>
      <c r="Q29" s="5"/>
      <c r="R29" s="5"/>
      <c r="S29" s="5"/>
      <c r="T29" s="6">
        <f>T28</f>
        <v>0</v>
      </c>
      <c r="U29" s="5"/>
      <c r="V29" s="5"/>
      <c r="W29" s="5"/>
      <c r="X29" s="5"/>
      <c r="Y29" s="5"/>
      <c r="Z29" s="6">
        <f>Z28</f>
        <v>0</v>
      </c>
      <c r="AA29" s="5"/>
      <c r="AB29" s="5"/>
      <c r="AC29" s="5"/>
      <c r="AD29" s="5"/>
      <c r="AE29" s="5"/>
      <c r="AF29" s="6">
        <f>AF28</f>
        <v>0</v>
      </c>
      <c r="AG29" s="5"/>
      <c r="AH29" s="5"/>
      <c r="AI29" s="5"/>
      <c r="AJ29" s="5"/>
      <c r="AK29" s="5"/>
      <c r="AL29" s="6">
        <f>AL28</f>
        <v>0</v>
      </c>
      <c r="AM29" s="5"/>
      <c r="AN29" s="5"/>
      <c r="AO29" s="5"/>
      <c r="AP29" s="5"/>
      <c r="AQ29" s="5"/>
      <c r="AR29" s="6">
        <f>AR28</f>
        <v>0</v>
      </c>
      <c r="AS29" s="5"/>
      <c r="AT29" s="5"/>
      <c r="AU29" s="5"/>
      <c r="AV29" s="5"/>
      <c r="AW29" s="5"/>
      <c r="AX29" s="6">
        <f>AX28</f>
        <v>0</v>
      </c>
    </row>
    <row r="30" spans="3:50" ht="19.5" hidden="1" customHeight="1" x14ac:dyDescent="0.15">
      <c r="C30" s="72" t="str">
        <f>IF(Mastermind!C20="","",Mastermind!C20)</f>
        <v/>
      </c>
      <c r="D30" s="73"/>
      <c r="E30" s="72" t="str">
        <f>IF(Mastermind!E20="","",Mastermind!E20)</f>
        <v/>
      </c>
      <c r="F30" s="73"/>
      <c r="G30" s="72" t="str">
        <f>IF(Mastermind!G20="","",Mastermind!G20)</f>
        <v/>
      </c>
      <c r="H30" s="73"/>
      <c r="I30" s="72" t="str">
        <f>IF(Mastermind!I20="","",Mastermind!I20)</f>
        <v/>
      </c>
      <c r="J30" s="73"/>
      <c r="K30" s="12" t="str">
        <f>IF(N30&gt;=1,M30,IF(N31&gt;=1,M31,""))</f>
        <v/>
      </c>
      <c r="L30" s="13" t="str">
        <f>IF(N30&gt;=2,M30,IF(N31+N30&gt;=2,M31,""))</f>
        <v/>
      </c>
      <c r="M30" s="4" t="s">
        <v>4</v>
      </c>
      <c r="N30" s="6">
        <f>IF(C30=$C$2,1,0)+IF(E30=$E$2,1,0)+IF(G30=$G$2,1,0)+IF(I30=$I$2,1,0)</f>
        <v>0</v>
      </c>
      <c r="O30" s="2" t="str">
        <f>O$14</f>
        <v>Blue</v>
      </c>
      <c r="P30" s="2" t="str">
        <f>IF($C30=O$16,1,"")</f>
        <v/>
      </c>
      <c r="Q30" s="2" t="str">
        <f>IF($E30=O$16,1,"")</f>
        <v/>
      </c>
      <c r="R30" s="2" t="str">
        <f>IF($G30=O$16,1,"")</f>
        <v/>
      </c>
      <c r="S30" s="2" t="str">
        <f>IF($I30=O$16,1,"")</f>
        <v/>
      </c>
      <c r="T30" s="3">
        <f>IF((IF($C30=O30,1,0)+IF($E30=O30,1,0)+IF($G30=O30,1,0)+IF($I30=O30,1,0))&gt;=(IF($C$2=O30,1,0)+IF($E$2=O30,1,0)+IF($G$2=O30,1,0)+IF($I$2=O30,1,0)),(IF($C$2=O30,1,0)+IF($E$2=O30,1,0)+IF($G$2=O30,1,0)+IF($I$2=O30,1,0)),(IF($C30=O30,1,0)+IF($E30=O30,1,0)+IF($G30=O30,1,0)+IF($I30=O30,1,0)))</f>
        <v>0</v>
      </c>
      <c r="U30" s="2" t="str">
        <f>U$14</f>
        <v>Red</v>
      </c>
      <c r="V30" s="2" t="str">
        <f>IF($C30=U$16,1,"")</f>
        <v/>
      </c>
      <c r="W30" s="2" t="str">
        <f>IF($E30=U$16,1,"")</f>
        <v/>
      </c>
      <c r="X30" s="2" t="str">
        <f>IF($G30=U$16,1,"")</f>
        <v/>
      </c>
      <c r="Y30" s="2" t="str">
        <f>IF($I30=U$16,1,"")</f>
        <v/>
      </c>
      <c r="Z30" s="3">
        <f>IF((IF($C30=U30,1,0)+IF($E30=U30,1,0)+IF($G30=U30,1,0)+IF($I30=U30,1,0))&gt;=(IF($C$2=U30,1,0)+IF($E$2=U30,1,0)+IF($G$2=U30,1,0)+IF($I$2=U30,1,0)),(IF($C$2=U30,1,0)+IF($E$2=U30,1,0)+IF($G$2=U30,1,0)+IF($I$2=U30,1,0)),(IF($C30=U30,1,0)+IF($E30=U30,1,0)+IF($G30=U30,1,0)+IF($I30=U30,1,0)))</f>
        <v>0</v>
      </c>
      <c r="AA30" s="2" t="str">
        <f>AA$14</f>
        <v>Green</v>
      </c>
      <c r="AB30" s="2" t="str">
        <f>IF($C30=AA$16,1,"")</f>
        <v/>
      </c>
      <c r="AC30" s="2" t="str">
        <f>IF($E30=AA$16,1,"")</f>
        <v/>
      </c>
      <c r="AD30" s="2" t="str">
        <f>IF($G30=AA$16,1,"")</f>
        <v/>
      </c>
      <c r="AE30" s="2" t="str">
        <f>IF($I30=AA$16,1,"")</f>
        <v/>
      </c>
      <c r="AF30" s="3">
        <f>IF((IF($C30=AA30,1,0)+IF($E30=AA30,1,0)+IF($G30=AA30,1,0)+IF($I30=AA30,1,0))&gt;=(IF($C$2=AA30,1,0)+IF($E$2=AA30,1,0)+IF($G$2=AA30,1,0)+IF($I$2=AA30,1,0)),(IF($C$2=AA30,1,0)+IF($E$2=AA30,1,0)+IF($G$2=AA30,1,0)+IF($I$2=AA30,1,0)),(IF($C30=AA30,1,0)+IF($E30=AA30,1,0)+IF($G30=AA30,1,0)+IF($I30=AA30,1,0)))</f>
        <v>0</v>
      </c>
      <c r="AG30" s="2" t="str">
        <f>AG$14</f>
        <v>Yellow</v>
      </c>
      <c r="AH30" s="2" t="str">
        <f>IF($C30=AG$16,1,"")</f>
        <v/>
      </c>
      <c r="AI30" s="2" t="str">
        <f>IF($E30=AG$16,1,"")</f>
        <v/>
      </c>
      <c r="AJ30" s="2" t="str">
        <f>IF($G30=AG$16,1,"")</f>
        <v/>
      </c>
      <c r="AK30" s="2" t="str">
        <f>IF($I30=AG$16,1,"")</f>
        <v/>
      </c>
      <c r="AL30" s="3">
        <f>IF((IF($C30=AG30,1,0)+IF($E30=AG30,1,0)+IF($G30=AG30,1,0)+IF($I30=AG30,1,0))&gt;=(IF($C$2=AG30,1,0)+IF($E$2=AG30,1,0)+IF($G$2=AG30,1,0)+IF($I$2=AG30,1,0)),(IF($C$2=AG30,1,0)+IF($E$2=AG30,1,0)+IF($G$2=AG30,1,0)+IF($I$2=AG30,1,0)),(IF($C30=AG30,1,0)+IF($E30=AG30,1,0)+IF($G30=AG30,1,0)+IF($I30=AG30,1,0)))</f>
        <v>0</v>
      </c>
      <c r="AM30" s="2" t="str">
        <f>AM$14</f>
        <v>Brown</v>
      </c>
      <c r="AN30" s="2" t="str">
        <f>IF($C30=AM$16,1,"")</f>
        <v/>
      </c>
      <c r="AO30" s="2" t="str">
        <f>IF($E30=AM$16,1,"")</f>
        <v/>
      </c>
      <c r="AP30" s="2" t="str">
        <f>IF($G30=AM$16,1,"")</f>
        <v/>
      </c>
      <c r="AQ30" s="2" t="str">
        <f>IF($I30=AM$16,1,"")</f>
        <v/>
      </c>
      <c r="AR30" s="3">
        <f>IF((IF($C30=AM30,1,0)+IF($E30=AM30,1,0)+IF($G30=AM30,1,0)+IF($I30=AM30,1,0))&gt;=(IF($C$2=AM30,1,0)+IF($E$2=AM30,1,0)+IF($G$2=AM30,1,0)+IF($I$2=AM30,1,0)),(IF($C$2=AM30,1,0)+IF($E$2=AM30,1,0)+IF($G$2=AM30,1,0)+IF($I$2=AM30,1,0)),(IF($C30=AM30,1,0)+IF($E30=AM30,1,0)+IF($G30=AM30,1,0)+IF($I30=AM30,1,0)))</f>
        <v>0</v>
      </c>
      <c r="AS30" s="2" t="str">
        <f>AS$14</f>
        <v>Pink</v>
      </c>
      <c r="AT30" s="2" t="str">
        <f>IF($C30=AS$16,1,"")</f>
        <v/>
      </c>
      <c r="AU30" s="2" t="str">
        <f>IF($E30=AS$16,1,"")</f>
        <v/>
      </c>
      <c r="AV30" s="2" t="str">
        <f>IF($G30=AS$16,1,"")</f>
        <v/>
      </c>
      <c r="AW30" s="2" t="str">
        <f>IF($I30=AS$16,1,"")</f>
        <v/>
      </c>
      <c r="AX30" s="3">
        <f>IF((IF($C30=AS30,1,0)+IF($E30=AS30,1,0)+IF($G30=AS30,1,0)+IF($I30=AS30,1,0))&gt;=(IF($C$2=AS30,1,0)+IF($E$2=AS30,1,0)+IF($G$2=AS30,1,0)+IF($I$2=AS30,1,0)),(IF($C$2=AS30,1,0)+IF($E$2=AS30,1,0)+IF($G$2=AS30,1,0)+IF($I$2=AS30,1,0)),(IF($C30=AS30,1,0)+IF($E30=AS30,1,0)+IF($G30=AS30,1,0)+IF($I30=AS30,1,0)))</f>
        <v>0</v>
      </c>
    </row>
    <row r="31" spans="3:50" ht="19.5" hidden="1" customHeight="1" thickBot="1" x14ac:dyDescent="0.2">
      <c r="C31" s="74"/>
      <c r="D31" s="75"/>
      <c r="E31" s="74"/>
      <c r="F31" s="75"/>
      <c r="G31" s="74"/>
      <c r="H31" s="75"/>
      <c r="I31" s="74"/>
      <c r="J31" s="75"/>
      <c r="K31" s="14" t="str">
        <f>IF(N30&gt;=3,M30,IF(N31+N30&gt;=3,M31,""))</f>
        <v/>
      </c>
      <c r="L31" s="15" t="str">
        <f>IF(N30&gt;=4,M30,IF(N31+N30&gt;=4,M31,""))</f>
        <v/>
      </c>
      <c r="M31" s="7" t="s">
        <v>3</v>
      </c>
      <c r="N31" s="9">
        <f>SUM(T31,Z31,AF31,AL31,AR31,AX31)-N30</f>
        <v>0</v>
      </c>
      <c r="O31" s="8"/>
      <c r="P31" s="8"/>
      <c r="Q31" s="8"/>
      <c r="R31" s="8"/>
      <c r="S31" s="8"/>
      <c r="T31" s="9">
        <f>T30</f>
        <v>0</v>
      </c>
      <c r="U31" s="8"/>
      <c r="V31" s="8"/>
      <c r="W31" s="8"/>
      <c r="X31" s="8"/>
      <c r="Y31" s="8"/>
      <c r="Z31" s="9">
        <f>Z30</f>
        <v>0</v>
      </c>
      <c r="AA31" s="8"/>
      <c r="AB31" s="8"/>
      <c r="AC31" s="8"/>
      <c r="AD31" s="8"/>
      <c r="AE31" s="8"/>
      <c r="AF31" s="9">
        <f>AF30</f>
        <v>0</v>
      </c>
      <c r="AG31" s="8"/>
      <c r="AH31" s="8"/>
      <c r="AI31" s="8"/>
      <c r="AJ31" s="8"/>
      <c r="AK31" s="8"/>
      <c r="AL31" s="9">
        <f>AL30</f>
        <v>0</v>
      </c>
      <c r="AM31" s="8"/>
      <c r="AN31" s="8"/>
      <c r="AO31" s="8"/>
      <c r="AP31" s="8"/>
      <c r="AQ31" s="8"/>
      <c r="AR31" s="8">
        <f>AR30</f>
        <v>0</v>
      </c>
      <c r="AS31" s="7"/>
      <c r="AT31" s="8"/>
      <c r="AU31" s="8"/>
      <c r="AV31" s="8"/>
      <c r="AW31" s="8"/>
      <c r="AX31" s="9">
        <f>AX30</f>
        <v>0</v>
      </c>
    </row>
    <row r="32" spans="3:50" ht="19.5" customHeight="1" x14ac:dyDescent="0.15"/>
    <row r="33" ht="19.5" customHeight="1" x14ac:dyDescent="0.15"/>
  </sheetData>
  <mergeCells count="51">
    <mergeCell ref="C26:D27"/>
    <mergeCell ref="E26:F27"/>
    <mergeCell ref="G26:H27"/>
    <mergeCell ref="I26:J27"/>
    <mergeCell ref="C22:D23"/>
    <mergeCell ref="E22:F23"/>
    <mergeCell ref="G22:H23"/>
    <mergeCell ref="I22:J23"/>
    <mergeCell ref="C24:D25"/>
    <mergeCell ref="E24:F25"/>
    <mergeCell ref="G24:H25"/>
    <mergeCell ref="I24:J25"/>
    <mergeCell ref="C20:D21"/>
    <mergeCell ref="E20:F21"/>
    <mergeCell ref="G20:H21"/>
    <mergeCell ref="I20:J21"/>
    <mergeCell ref="F11:G11"/>
    <mergeCell ref="C16:D17"/>
    <mergeCell ref="E16:F17"/>
    <mergeCell ref="G16:H17"/>
    <mergeCell ref="F12:G12"/>
    <mergeCell ref="F13:G13"/>
    <mergeCell ref="I16:J17"/>
    <mergeCell ref="C18:D19"/>
    <mergeCell ref="E18:F19"/>
    <mergeCell ref="G18:H19"/>
    <mergeCell ref="I18:J19"/>
    <mergeCell ref="F10:G10"/>
    <mergeCell ref="I4:J4"/>
    <mergeCell ref="F8:G8"/>
    <mergeCell ref="C6:D6"/>
    <mergeCell ref="E6:F6"/>
    <mergeCell ref="C2:D3"/>
    <mergeCell ref="E2:F3"/>
    <mergeCell ref="G2:H3"/>
    <mergeCell ref="I2:J3"/>
    <mergeCell ref="F9:G9"/>
    <mergeCell ref="G6:H6"/>
    <mergeCell ref="I6:J6"/>
    <mergeCell ref="C8:D8"/>
    <mergeCell ref="C4:D4"/>
    <mergeCell ref="E4:F4"/>
    <mergeCell ref="G4:H4"/>
    <mergeCell ref="C30:D31"/>
    <mergeCell ref="E30:F31"/>
    <mergeCell ref="G30:H31"/>
    <mergeCell ref="I30:J31"/>
    <mergeCell ref="C28:D29"/>
    <mergeCell ref="E28:F29"/>
    <mergeCell ref="G28:H29"/>
    <mergeCell ref="I28:J29"/>
  </mergeCells>
  <phoneticPr fontId="1" type="noConversion"/>
  <pageMargins left="0.75" right="0.75" top="1" bottom="1" header="0.4921259845" footer="0.4921259845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Mastermind</vt:lpstr>
      <vt:lpstr>Key</vt:lpstr>
    </vt:vector>
  </TitlesOfParts>
  <Company>Walter Maeder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dcterms:created xsi:type="dcterms:W3CDTF">2012-06-26T11:20:48Z</dcterms:created>
  <dcterms:modified xsi:type="dcterms:W3CDTF">2020-09-15T16:12:44Z</dcterms:modified>
</cp:coreProperties>
</file>